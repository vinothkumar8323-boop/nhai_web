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Parameterized_Lamp_Failure_Repo" sheetId="1" state="visible" r:id="rId1"/>
    <sheet name="Sheet 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 &quot;kW&quot;"/>
  </numFmts>
  <fonts count="4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color rgb="00D9E1F2"/>
      <sz val="10"/>
    </font>
    <font>
      <name val="Segoe UI"/>
      <b val="1"/>
      <color rgb="00475569"/>
      <sz val="9"/>
    </font>
    <font>
      <name val="Segoe UI"/>
      <b val="1"/>
      <color rgb="001E40AF"/>
      <sz val="18"/>
    </font>
    <font>
      <name val="Segoe UI"/>
      <color rgb="0064748B"/>
      <sz val="8"/>
    </font>
    <font>
      <name val="Segoe UI"/>
      <b val="1"/>
      <color rgb="000F172A"/>
      <sz val="18"/>
    </font>
    <font>
      <name val="Segoe UI"/>
      <b val="1"/>
      <color rgb="00065F46"/>
      <sz val="18"/>
    </font>
    <font>
      <name val="Segoe UI"/>
      <b val="1"/>
      <color rgb="00B91C1C"/>
      <sz val="18"/>
    </font>
    <font>
      <name val="Segoe UI"/>
      <b val="1"/>
      <color rgb="00047857"/>
      <sz val="18"/>
    </font>
    <font>
      <name val="Segoe UI"/>
      <b val="1"/>
      <color rgb="00B45309"/>
      <sz val="18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b val="1"/>
      <color rgb="00065F46"/>
      <sz val="9"/>
    </font>
    <font>
      <name val="Segoe UI"/>
      <color rgb="001F2937"/>
      <sz val="10"/>
    </font>
    <font>
      <name val="Segoe UI"/>
      <b val="1"/>
      <color rgb="0092400E"/>
      <sz val="9"/>
    </font>
    <font>
      <name val="Segoe UI"/>
      <b val="1"/>
      <color rgb="000F172A"/>
      <sz val="10"/>
    </font>
    <font>
      <name val="Segoe UI"/>
      <b val="1"/>
      <color rgb="00991B1B"/>
      <sz val="9"/>
    </font>
    <font>
      <name val="Segoe UI"/>
      <b val="1"/>
      <color rgb="001F2937"/>
      <sz val="10"/>
    </font>
    <font>
      <name val="Segoe UI"/>
      <color rgb="001E293B"/>
      <sz val="9"/>
    </font>
    <font>
      <name val="Segoe UI"/>
      <b val="1"/>
      <color rgb="00854D0E"/>
      <sz val="9"/>
    </font>
    <font>
      <name val="Segoe UI"/>
      <color rgb="001F2937"/>
      <sz val="9"/>
    </font>
    <font>
      <name val="Segoe UI"/>
      <sz val="9"/>
    </font>
  </fonts>
  <fills count="52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1B365D"/>
        <bgColor rgb="001B365D"/>
      </patternFill>
    </fill>
    <fill>
      <patternFill patternType="solid">
        <fgColor rgb="00234375"/>
        <bgColor rgb="00234375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  <fill>
      <patternFill patternType="solid">
        <fgColor rgb="00FFFBEB"/>
        <bgColor rgb="00FFFBEB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2F5597"/>
        <bgColor rgb="002F5597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1E3A8A"/>
        <bgColor rgb="001E3A8A"/>
      </patternFill>
    </fill>
    <fill>
      <patternFill patternType="solid">
        <fgColor rgb="00047857"/>
        <bgColor rgb="00047857"/>
      </patternFill>
    </fill>
    <fill>
      <patternFill patternType="solid">
        <fgColor rgb="00B45309"/>
        <bgColor rgb="00B45309"/>
      </patternFill>
    </fill>
    <fill>
      <patternFill patternType="solid">
        <fgColor rgb="00B91C1C"/>
        <bgColor rgb="00B91C1C"/>
      </patternFill>
    </fill>
    <fill>
      <patternFill patternType="solid">
        <fgColor rgb="001F4E79"/>
        <bgColor rgb="001F4E79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B365D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9">
    <xf numFmtId="0" fontId="0" fillId="0" borderId="0" pivotButton="0" quotePrefix="0" xfId="0"/>
    <xf numFmtId="15" fontId="0" fillId="0" borderId="0" pivotButton="0" quotePrefix="0" xfId="0"/>
    <xf numFmtId="0" fontId="30" fillId="51" borderId="10" applyAlignment="1" pivotButton="0" quotePrefix="0" xfId="0">
      <alignment horizontal="center" vertical="center" wrapText="1"/>
    </xf>
    <xf numFmtId="164" fontId="40" fillId="0" borderId="10" applyAlignment="1" pivotButton="0" quotePrefix="0" xfId="0">
      <alignment horizontal="center" vertical="center"/>
    </xf>
    <xf numFmtId="0" fontId="40" fillId="0" borderId="10" applyAlignment="1" pivotButton="0" quotePrefix="0" xfId="0">
      <alignment horizontal="center" vertical="center"/>
    </xf>
    <xf numFmtId="3" fontId="40" fillId="0" borderId="10" applyAlignment="1" pivotButton="0" quotePrefix="0" xfId="0">
      <alignment horizontal="right" vertical="center"/>
    </xf>
    <xf numFmtId="10" fontId="40" fillId="0" borderId="10" applyAlignment="1" pivotButton="0" quotePrefix="0" xfId="0">
      <alignment horizontal="right" vertical="center"/>
    </xf>
    <xf numFmtId="0" fontId="18" fillId="33" borderId="0" applyAlignment="1" pivotButton="0" quotePrefix="0" xfId="0">
      <alignment horizontal="center" vertical="center"/>
    </xf>
    <xf numFmtId="0" fontId="19" fillId="33" borderId="0" applyAlignment="1" pivotButton="0" quotePrefix="0" xfId="0">
      <alignment horizontal="center" vertical="center"/>
    </xf>
    <xf numFmtId="0" fontId="20" fillId="34" borderId="0" applyAlignment="1" pivotButton="0" quotePrefix="0" xfId="0">
      <alignment horizontal="center" vertical="center"/>
    </xf>
    <xf numFmtId="0" fontId="21" fillId="35" borderId="10" applyAlignment="1" pivotButton="0" quotePrefix="0" xfId="0">
      <alignment horizontal="center" vertical="center"/>
    </xf>
    <xf numFmtId="0" fontId="0" fillId="0" borderId="10" pivotButton="0" quotePrefix="0" xfId="0"/>
    <xf numFmtId="0" fontId="21" fillId="36" borderId="10" applyAlignment="1" pivotButton="0" quotePrefix="0" xfId="0">
      <alignment horizontal="center" vertical="center"/>
    </xf>
    <xf numFmtId="0" fontId="21" fillId="37" borderId="10" applyAlignment="1" pivotButton="0" quotePrefix="0" xfId="0">
      <alignment horizontal="center" vertical="center"/>
    </xf>
    <xf numFmtId="0" fontId="21" fillId="38" borderId="10" applyAlignment="1" pivotButton="0" quotePrefix="0" xfId="0">
      <alignment horizontal="center" vertical="center"/>
    </xf>
    <xf numFmtId="3" fontId="22" fillId="35" borderId="10" applyAlignment="1" pivotButton="0" quotePrefix="0" xfId="0">
      <alignment horizontal="center" vertical="center"/>
    </xf>
    <xf numFmtId="3" fontId="24" fillId="35" borderId="10" applyAlignment="1" pivotButton="0" quotePrefix="0" xfId="0">
      <alignment horizontal="center" vertical="center"/>
    </xf>
    <xf numFmtId="3" fontId="25" fillId="36" borderId="10" applyAlignment="1" pivotButton="0" quotePrefix="0" xfId="0">
      <alignment horizontal="center" vertical="center"/>
    </xf>
    <xf numFmtId="3" fontId="26" fillId="37" borderId="10" applyAlignment="1" pivotButton="0" quotePrefix="0" xfId="0">
      <alignment horizontal="center" vertical="center"/>
    </xf>
    <xf numFmtId="10" fontId="27" fillId="36" borderId="10" applyAlignment="1" pivotButton="0" quotePrefix="0" xfId="0">
      <alignment horizontal="center" vertical="center"/>
    </xf>
    <xf numFmtId="165" fontId="28" fillId="38" borderId="10" applyAlignment="1" pivotButton="0" quotePrefix="0" xfId="0">
      <alignment horizontal="center" vertical="center"/>
    </xf>
    <xf numFmtId="0" fontId="23" fillId="35" borderId="10" applyAlignment="1" pivotButton="0" quotePrefix="0" xfId="0">
      <alignment horizontal="center" vertical="center"/>
    </xf>
    <xf numFmtId="0" fontId="23" fillId="36" borderId="10" applyAlignment="1" pivotButton="0" quotePrefix="0" xfId="0">
      <alignment horizontal="center" vertical="center"/>
    </xf>
    <xf numFmtId="0" fontId="23" fillId="37" borderId="10" applyAlignment="1" pivotButton="0" quotePrefix="0" xfId="0">
      <alignment horizontal="center" vertical="center"/>
    </xf>
    <xf numFmtId="0" fontId="23" fillId="38" borderId="10" applyAlignment="1" pivotButton="0" quotePrefix="0" xfId="0">
      <alignment horizontal="center" vertical="center"/>
    </xf>
    <xf numFmtId="0" fontId="29" fillId="0" borderId="0" pivotButton="0" quotePrefix="0" xfId="0"/>
    <xf numFmtId="0" fontId="30" fillId="33" borderId="10" applyAlignment="1" pivotButton="0" quotePrefix="0" xfId="0">
      <alignment horizontal="center" vertical="center" wrapText="1"/>
    </xf>
    <xf numFmtId="0" fontId="32" fillId="40" borderId="10" applyAlignment="1" pivotButton="0" quotePrefix="0" xfId="0">
      <alignment horizontal="left" vertical="center"/>
    </xf>
    <xf numFmtId="0" fontId="32" fillId="40" borderId="10" applyAlignment="1" pivotButton="0" quotePrefix="0" xfId="0">
      <alignment horizontal="center" vertical="center"/>
    </xf>
    <xf numFmtId="3" fontId="32" fillId="40" borderId="10" applyAlignment="1" pivotButton="0" quotePrefix="0" xfId="0">
      <alignment horizontal="right" vertical="center"/>
    </xf>
    <xf numFmtId="10" fontId="32" fillId="40" borderId="10" applyAlignment="1" pivotButton="0" quotePrefix="0" xfId="0">
      <alignment horizontal="right" vertical="center"/>
    </xf>
    <xf numFmtId="4" fontId="32" fillId="40" borderId="10" applyAlignment="1" pivotButton="0" quotePrefix="0" xfId="0">
      <alignment horizontal="right" vertical="center"/>
    </xf>
    <xf numFmtId="0" fontId="31" fillId="39" borderId="10" applyAlignment="1" pivotButton="0" quotePrefix="0" xfId="0">
      <alignment horizontal="center" vertical="center"/>
    </xf>
    <xf numFmtId="0" fontId="32" fillId="42" borderId="10" applyAlignment="1" pivotButton="0" quotePrefix="0" xfId="0">
      <alignment horizontal="left" vertical="center"/>
    </xf>
    <xf numFmtId="0" fontId="32" fillId="42" borderId="10" applyAlignment="1" pivotButton="0" quotePrefix="0" xfId="0">
      <alignment horizontal="center" vertical="center"/>
    </xf>
    <xf numFmtId="3" fontId="32" fillId="42" borderId="10" applyAlignment="1" pivotButton="0" quotePrefix="0" xfId="0">
      <alignment horizontal="right" vertical="center"/>
    </xf>
    <xf numFmtId="10" fontId="32" fillId="42" borderId="10" applyAlignment="1" pivotButton="0" quotePrefix="0" xfId="0">
      <alignment horizontal="right" vertical="center"/>
    </xf>
    <xf numFmtId="4" fontId="32" fillId="42" borderId="10" applyAlignment="1" pivotButton="0" quotePrefix="0" xfId="0">
      <alignment horizontal="right" vertical="center"/>
    </xf>
    <xf numFmtId="0" fontId="33" fillId="41" borderId="10" applyAlignment="1" pivotButton="0" quotePrefix="0" xfId="0">
      <alignment horizontal="center" vertical="center"/>
    </xf>
    <xf numFmtId="0" fontId="34" fillId="43" borderId="11" applyAlignment="1" pivotButton="0" quotePrefix="0" xfId="0">
      <alignment horizontal="left" vertical="center"/>
    </xf>
    <xf numFmtId="0" fontId="34" fillId="43" borderId="11" applyAlignment="1" pivotButton="0" quotePrefix="0" xfId="0">
      <alignment horizontal="center" vertical="center"/>
    </xf>
    <xf numFmtId="3" fontId="34" fillId="43" borderId="11" applyAlignment="1" pivotButton="0" quotePrefix="0" xfId="0">
      <alignment horizontal="right" vertical="center"/>
    </xf>
    <xf numFmtId="10" fontId="34" fillId="43" borderId="11" applyAlignment="1" pivotButton="0" quotePrefix="0" xfId="0">
      <alignment horizontal="right" vertical="center"/>
    </xf>
    <xf numFmtId="4" fontId="34" fillId="43" borderId="11" applyAlignment="1" pivotButton="0" quotePrefix="0" xfId="0">
      <alignment horizontal="right" vertical="center"/>
    </xf>
    <xf numFmtId="0" fontId="30" fillId="44" borderId="10" applyAlignment="1" pivotButton="0" quotePrefix="0" xfId="0">
      <alignment horizontal="center" vertical="center" wrapText="1"/>
    </xf>
    <xf numFmtId="0" fontId="30" fillId="44" borderId="10" applyAlignment="1" pivotButton="0" quotePrefix="0" xfId="0">
      <alignment horizontal="center" vertical="center"/>
    </xf>
    <xf numFmtId="0" fontId="35" fillId="45" borderId="10" applyAlignment="1" pivotButton="0" quotePrefix="0" xfId="0">
      <alignment horizontal="center" vertical="center"/>
    </xf>
    <xf numFmtId="0" fontId="36" fillId="43" borderId="11" applyAlignment="1" pivotButton="0" quotePrefix="0" xfId="0">
      <alignment horizontal="left" vertical="center"/>
    </xf>
    <xf numFmtId="0" fontId="36" fillId="42" borderId="10" applyAlignment="1" pivotButton="0" quotePrefix="0" xfId="0">
      <alignment horizontal="center" vertical="center"/>
    </xf>
    <xf numFmtId="3" fontId="36" fillId="42" borderId="10" applyAlignment="1" pivotButton="0" quotePrefix="0" xfId="0">
      <alignment horizontal="right" vertical="center"/>
    </xf>
    <xf numFmtId="0" fontId="36" fillId="40" borderId="10" applyAlignment="1" pivotButton="0" quotePrefix="0" xfId="0">
      <alignment horizontal="center" vertical="center"/>
    </xf>
    <xf numFmtId="3" fontId="36" fillId="40" borderId="10" applyAlignment="1" pivotButton="0" quotePrefix="0" xfId="0">
      <alignment horizontal="right" vertical="center"/>
    </xf>
    <xf numFmtId="0" fontId="38" fillId="46" borderId="10" applyAlignment="1" pivotButton="0" quotePrefix="0" xfId="0">
      <alignment horizontal="center" vertical="center"/>
    </xf>
    <xf numFmtId="0" fontId="30" fillId="47" borderId="10" applyAlignment="1" pivotButton="0" quotePrefix="0" xfId="0">
      <alignment horizontal="left" vertical="center" indent="1"/>
    </xf>
    <xf numFmtId="0" fontId="39" fillId="40" borderId="10" applyAlignment="1" pivotButton="0" quotePrefix="0" xfId="0">
      <alignment horizontal="left" vertical="top" wrapText="1" indent="1"/>
    </xf>
    <xf numFmtId="0" fontId="30" fillId="48" borderId="10" applyAlignment="1" pivotButton="0" quotePrefix="0" xfId="0">
      <alignment horizontal="left" vertical="center" indent="1"/>
    </xf>
    <xf numFmtId="0" fontId="30" fillId="49" borderId="10" applyAlignment="1" pivotButton="0" quotePrefix="0" xfId="0">
      <alignment horizontal="left" vertical="center" indent="1"/>
    </xf>
    <xf numFmtId="0" fontId="30" fillId="50" borderId="10" applyAlignment="1" pivotButton="0" quotePrefix="0" xfId="0">
      <alignment horizontal="left" vertical="center" indent="1"/>
    </xf>
    <xf numFmtId="164" fontId="40" fillId="0" borderId="10" applyAlignment="1" pivotButton="0" quotePrefix="0" xfId="0">
      <alignment horizontal="center" vertical="center"/>
    </xf>
    <xf numFmtId="0" fontId="0" fillId="0" borderId="15" pivotButton="0" quotePrefix="0" xfId="0"/>
    <xf numFmtId="165" fontId="28" fillId="38" borderId="1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Network Lamp Status (Burning vs Non-Burning %)</a:t>
            </a:r>
          </a:p>
        </rich>
      </tx>
    </title>
    <plotArea>
      <doughnutChart>
        <varyColors val="1"/>
        <ser>
          <idx val="0"/>
          <order val="0"/>
          <tx>
            <strRef>
              <f>'Sheet 2'!P10</f>
            </strRef>
          </tx>
          <spPr>
            <a:ln>
              <a:prstDash val="solid"/>
            </a:ln>
          </spPr>
          <cat>
            <numRef>
              <f>'Sheet 2'!$O$11:$O$12</f>
            </numRef>
          </cat>
          <val>
            <numRef>
              <f>'Sheet 2'!$P$11:$P$12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Section-Wise Operational Status (Lamps)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 2'!P14</f>
            </strRef>
          </tx>
          <spPr>
            <a:ln>
              <a:prstDash val="solid"/>
            </a:ln>
          </spPr>
          <cat>
            <numRef>
              <f>'Sheet 2'!$O$15:$O$17</f>
            </numRef>
          </cat>
          <val>
            <numRef>
              <f>'Sheet 2'!$P$15:$P$17</f>
            </numRef>
          </val>
        </ser>
        <ser>
          <idx val="1"/>
          <order val="1"/>
          <tx>
            <strRef>
              <f>'Sheet 2'!Q14</f>
            </strRef>
          </tx>
          <spPr>
            <a:ln>
              <a:prstDash val="solid"/>
            </a:ln>
          </spPr>
          <cat>
            <numRef>
              <f>'Sheet 2'!$O$15:$O$17</f>
            </numRef>
          </cat>
          <val>
            <numRef>
              <f>'Sheet 2'!$Q$15:$Q$17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Corridor Section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Lamps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Available Wattage Lamp Failure Distribution (Deficit Count)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'Sheet 2'!P19</f>
            </strRef>
          </tx>
          <spPr>
            <a:ln>
              <a:prstDash val="solid"/>
            </a:ln>
          </spPr>
          <cat>
            <numRef>
              <f>'Sheet 2'!$O$20:$O$25</f>
            </numRef>
          </cat>
          <val>
            <numRef>
              <f>'Sheet 2'!$P$20:$P$25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Failed Lamps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Luminaire Rating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13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26</row>
      <rowOff>0</rowOff>
    </from>
    <ext cx="540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7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4" customHeight="1">
      <c r="A1" s="2" t="inlineStr">
        <is>
          <t>Date</t>
        </is>
      </c>
      <c r="B1" s="2" t="inlineStr">
        <is>
          <t>CCMS ID</t>
        </is>
      </c>
      <c r="C1" s="2" t="inlineStr">
        <is>
          <t>Region</t>
        </is>
      </c>
      <c r="D1" s="2" t="inlineStr">
        <is>
          <t>Zone</t>
        </is>
      </c>
      <c r="E1" s="2" t="inlineStr">
        <is>
          <t>Ward</t>
        </is>
      </c>
      <c r="F1" s="2" t="inlineStr">
        <is>
          <t>Connected Load</t>
        </is>
      </c>
      <c r="G1" s="2" t="inlineStr">
        <is>
          <t>Recorded Load</t>
        </is>
      </c>
      <c r="H1" s="2" t="inlineStr">
        <is>
          <t>Non Burning Load</t>
        </is>
      </c>
      <c r="I1" s="2" t="inlineStr">
        <is>
          <t>No. of Lights Connected</t>
        </is>
      </c>
      <c r="J1" s="2" t="inlineStr">
        <is>
          <t>No. of Non Burning Lights</t>
        </is>
      </c>
      <c r="K1" s="2" t="inlineStr">
        <is>
          <t>% Non Burning</t>
        </is>
      </c>
      <c r="L1" s="2" t="inlineStr">
        <is>
          <t>Burning %</t>
        </is>
      </c>
      <c r="M1" s="2" t="inlineStr">
        <is>
          <t>NB_9</t>
        </is>
      </c>
      <c r="N1" s="2" t="inlineStr">
        <is>
          <t>Total_9</t>
        </is>
      </c>
      <c r="O1" s="2" t="inlineStr">
        <is>
          <t>NB_10</t>
        </is>
      </c>
      <c r="P1" s="2" t="inlineStr">
        <is>
          <t>Total_10</t>
        </is>
      </c>
      <c r="Q1" s="2" t="inlineStr">
        <is>
          <t>NB_15</t>
        </is>
      </c>
      <c r="R1" s="2" t="inlineStr">
        <is>
          <t>Total_15</t>
        </is>
      </c>
      <c r="S1" s="2" t="inlineStr">
        <is>
          <t>NB_18</t>
        </is>
      </c>
      <c r="T1" s="2" t="inlineStr">
        <is>
          <t>Total_18</t>
        </is>
      </c>
      <c r="U1" s="2" t="inlineStr">
        <is>
          <t>NB_20</t>
        </is>
      </c>
      <c r="V1" s="2" t="inlineStr">
        <is>
          <t>Total_20</t>
        </is>
      </c>
      <c r="W1" s="2" t="inlineStr">
        <is>
          <t>NB_21</t>
        </is>
      </c>
      <c r="X1" s="2" t="inlineStr">
        <is>
          <t>Total_21</t>
        </is>
      </c>
      <c r="Y1" s="2" t="inlineStr">
        <is>
          <t>NB_24</t>
        </is>
      </c>
      <c r="Z1" s="2" t="inlineStr">
        <is>
          <t>Total_24</t>
        </is>
      </c>
      <c r="AA1" s="2" t="inlineStr">
        <is>
          <t>NB_25</t>
        </is>
      </c>
      <c r="AB1" s="2" t="inlineStr">
        <is>
          <t>Total_25</t>
        </is>
      </c>
      <c r="AC1" s="2" t="inlineStr">
        <is>
          <t>NB_30</t>
        </is>
      </c>
      <c r="AD1" s="2" t="inlineStr">
        <is>
          <t>Total_30</t>
        </is>
      </c>
      <c r="AE1" s="2" t="inlineStr">
        <is>
          <t>NB_34</t>
        </is>
      </c>
      <c r="AF1" s="2" t="inlineStr">
        <is>
          <t>Total_34</t>
        </is>
      </c>
      <c r="AG1" s="2" t="inlineStr">
        <is>
          <t>NB_35</t>
        </is>
      </c>
      <c r="AH1" s="2" t="inlineStr">
        <is>
          <t>Total_35</t>
        </is>
      </c>
      <c r="AI1" s="2" t="inlineStr">
        <is>
          <t>NB_36</t>
        </is>
      </c>
      <c r="AJ1" s="2" t="inlineStr">
        <is>
          <t>Total_36</t>
        </is>
      </c>
      <c r="AK1" s="2" t="inlineStr">
        <is>
          <t>NB_40</t>
        </is>
      </c>
      <c r="AL1" s="2" t="inlineStr">
        <is>
          <t>Total_40</t>
        </is>
      </c>
      <c r="AM1" s="2" t="inlineStr">
        <is>
          <t>NB_42</t>
        </is>
      </c>
      <c r="AN1" s="2" t="inlineStr">
        <is>
          <t>Total_42</t>
        </is>
      </c>
      <c r="AO1" s="2" t="inlineStr">
        <is>
          <t>NB_45</t>
        </is>
      </c>
      <c r="AP1" s="2" t="inlineStr">
        <is>
          <t>Total_45</t>
        </is>
      </c>
      <c r="AQ1" s="2" t="inlineStr">
        <is>
          <t>NB_48</t>
        </is>
      </c>
      <c r="AR1" s="2" t="inlineStr">
        <is>
          <t>Total_48</t>
        </is>
      </c>
      <c r="AS1" s="2" t="inlineStr">
        <is>
          <t>NB_50</t>
        </is>
      </c>
      <c r="AT1" s="2" t="inlineStr">
        <is>
          <t>Total_50</t>
        </is>
      </c>
      <c r="AU1" s="2" t="inlineStr">
        <is>
          <t>NB_56</t>
        </is>
      </c>
      <c r="AV1" s="2" t="inlineStr">
        <is>
          <t>Total_56</t>
        </is>
      </c>
      <c r="AW1" s="2" t="inlineStr">
        <is>
          <t>NB_60</t>
        </is>
      </c>
      <c r="AX1" s="2" t="inlineStr">
        <is>
          <t>Total_60</t>
        </is>
      </c>
      <c r="AY1" s="2" t="inlineStr">
        <is>
          <t>NB_61</t>
        </is>
      </c>
      <c r="AZ1" s="2" t="inlineStr">
        <is>
          <t>Total_61</t>
        </is>
      </c>
      <c r="BA1" s="2" t="inlineStr">
        <is>
          <t>NB_65</t>
        </is>
      </c>
      <c r="BB1" s="2" t="inlineStr">
        <is>
          <t>Total_65</t>
        </is>
      </c>
      <c r="BC1" s="2" t="inlineStr">
        <is>
          <t>NB_70</t>
        </is>
      </c>
      <c r="BD1" s="2" t="inlineStr">
        <is>
          <t>Total_70</t>
        </is>
      </c>
      <c r="BE1" s="2" t="inlineStr">
        <is>
          <t>NB_72</t>
        </is>
      </c>
      <c r="BF1" s="2" t="inlineStr">
        <is>
          <t>Total_72</t>
        </is>
      </c>
      <c r="BG1" s="2" t="inlineStr">
        <is>
          <t>NB_73</t>
        </is>
      </c>
      <c r="BH1" s="2" t="inlineStr">
        <is>
          <t>Total_73</t>
        </is>
      </c>
      <c r="BI1" s="2" t="inlineStr">
        <is>
          <t>NB_75</t>
        </is>
      </c>
      <c r="BJ1" s="2" t="inlineStr">
        <is>
          <t>Total_75</t>
        </is>
      </c>
      <c r="BK1" s="2" t="inlineStr">
        <is>
          <t>NB_78</t>
        </is>
      </c>
      <c r="BL1" s="2" t="inlineStr">
        <is>
          <t>Total_78</t>
        </is>
      </c>
      <c r="BM1" s="2" t="inlineStr">
        <is>
          <t>NB_80</t>
        </is>
      </c>
      <c r="BN1" s="2" t="inlineStr">
        <is>
          <t>Total_80</t>
        </is>
      </c>
      <c r="BO1" s="2" t="inlineStr">
        <is>
          <t>NB_90</t>
        </is>
      </c>
      <c r="BP1" s="2" t="inlineStr">
        <is>
          <t>Total_90</t>
        </is>
      </c>
      <c r="BQ1" s="2" t="inlineStr">
        <is>
          <t>NB_100</t>
        </is>
      </c>
      <c r="BR1" s="2" t="inlineStr">
        <is>
          <t>Total_100</t>
        </is>
      </c>
      <c r="BS1" s="2" t="inlineStr">
        <is>
          <t>NB_104</t>
        </is>
      </c>
      <c r="BT1" s="2" t="inlineStr">
        <is>
          <t>Total_104</t>
        </is>
      </c>
      <c r="BU1" s="2" t="inlineStr">
        <is>
          <t>NB_105</t>
        </is>
      </c>
      <c r="BV1" s="2" t="inlineStr">
        <is>
          <t>Total_105</t>
        </is>
      </c>
      <c r="BW1" s="2" t="inlineStr">
        <is>
          <t>NB_120</t>
        </is>
      </c>
      <c r="BX1" s="2" t="inlineStr">
        <is>
          <t>Total_120</t>
        </is>
      </c>
      <c r="BY1" s="2" t="inlineStr">
        <is>
          <t>NB_150</t>
        </is>
      </c>
      <c r="BZ1" s="2" t="inlineStr">
        <is>
          <t>Total_150</t>
        </is>
      </c>
      <c r="CA1" s="2" t="inlineStr">
        <is>
          <t>NB_160</t>
        </is>
      </c>
      <c r="CB1" s="2" t="inlineStr">
        <is>
          <t>Total_160</t>
        </is>
      </c>
      <c r="CC1" s="2" t="inlineStr">
        <is>
          <t>NB_173</t>
        </is>
      </c>
      <c r="CD1" s="2" t="inlineStr">
        <is>
          <t>Total_173</t>
        </is>
      </c>
      <c r="CE1" s="2" t="inlineStr">
        <is>
          <t>NB_180</t>
        </is>
      </c>
      <c r="CF1" s="2" t="inlineStr">
        <is>
          <t>Total_180</t>
        </is>
      </c>
      <c r="CG1" s="2" t="inlineStr">
        <is>
          <t>NB_200</t>
        </is>
      </c>
      <c r="CH1" s="2" t="inlineStr">
        <is>
          <t>Total_200</t>
        </is>
      </c>
      <c r="CI1" s="2" t="inlineStr">
        <is>
          <t>NB_210</t>
        </is>
      </c>
      <c r="CJ1" s="2" t="inlineStr">
        <is>
          <t>Total_210</t>
        </is>
      </c>
      <c r="CK1" s="2" t="inlineStr">
        <is>
          <t>NB_220</t>
        </is>
      </c>
      <c r="CL1" s="2" t="inlineStr">
        <is>
          <t>Total_220</t>
        </is>
      </c>
      <c r="CM1" s="2" t="inlineStr">
        <is>
          <t>NB_240</t>
        </is>
      </c>
      <c r="CN1" s="2" t="inlineStr">
        <is>
          <t>Total_240</t>
        </is>
      </c>
      <c r="CO1" s="2" t="inlineStr">
        <is>
          <t>NB_250</t>
        </is>
      </c>
      <c r="CP1" s="2" t="inlineStr">
        <is>
          <t>Total_250</t>
        </is>
      </c>
      <c r="CQ1" s="2" t="inlineStr">
        <is>
          <t>Total_300</t>
        </is>
      </c>
      <c r="CR1" s="2" t="inlineStr">
        <is>
          <t>NB_300</t>
        </is>
      </c>
      <c r="CS1" s="2" t="inlineStr">
        <is>
          <t>Total_360</t>
        </is>
      </c>
      <c r="CT1" s="2" t="inlineStr">
        <is>
          <t>NB_360</t>
        </is>
      </c>
      <c r="CU1" s="2" t="inlineStr">
        <is>
          <t>Total_375</t>
        </is>
      </c>
      <c r="CV1" s="2" t="inlineStr">
        <is>
          <t>NB_375</t>
        </is>
      </c>
      <c r="CW1" s="2" t="inlineStr">
        <is>
          <t>NB_900</t>
        </is>
      </c>
      <c r="CX1" s="2" t="inlineStr">
        <is>
          <t>Total_900</t>
        </is>
      </c>
    </row>
    <row r="2" ht="18" customHeight="1">
      <c r="A2" s="58" t="n">
        <v>46307</v>
      </c>
      <c r="B2" s="4" t="inlineStr">
        <is>
          <t>SHC3074A00073</t>
        </is>
      </c>
      <c r="C2" s="4" t="inlineStr">
        <is>
          <t>Chengalpattu-PIU</t>
        </is>
      </c>
      <c r="D2" s="4" t="inlineStr">
        <is>
          <t>Section-2</t>
        </is>
      </c>
      <c r="E2" s="4" t="inlineStr">
        <is>
          <t>54-102</t>
        </is>
      </c>
      <c r="F2" s="5" t="n">
        <v>1950</v>
      </c>
      <c r="G2" s="5" t="n">
        <v>1038</v>
      </c>
      <c r="H2" s="5" t="n">
        <v>900</v>
      </c>
      <c r="I2" s="5" t="n">
        <v>13</v>
      </c>
      <c r="J2" s="5" t="n">
        <v>6</v>
      </c>
      <c r="K2" s="6" t="n">
        <v>0.461538461538461</v>
      </c>
      <c r="L2" s="6" t="n">
        <v>0.538461538461538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  <c r="BH2" s="5" t="n">
        <v>0</v>
      </c>
      <c r="BI2" s="5" t="n">
        <v>0</v>
      </c>
      <c r="BJ2" s="5" t="n">
        <v>0</v>
      </c>
      <c r="BK2" s="5" t="n">
        <v>0</v>
      </c>
      <c r="BL2" s="5" t="n">
        <v>0</v>
      </c>
      <c r="BM2" s="5" t="n">
        <v>0</v>
      </c>
      <c r="BN2" s="5" t="n">
        <v>0</v>
      </c>
      <c r="BO2" s="5" t="n">
        <v>0</v>
      </c>
      <c r="BP2" s="5" t="n">
        <v>0</v>
      </c>
      <c r="BQ2" s="5" t="n">
        <v>0</v>
      </c>
      <c r="BR2" s="5" t="n">
        <v>0</v>
      </c>
      <c r="BS2" s="5" t="n">
        <v>0</v>
      </c>
      <c r="BT2" s="5" t="n">
        <v>0</v>
      </c>
      <c r="BU2" s="5" t="n">
        <v>0</v>
      </c>
      <c r="BV2" s="5" t="n">
        <v>0</v>
      </c>
      <c r="BW2" s="5" t="n">
        <v>0</v>
      </c>
      <c r="BX2" s="5" t="n">
        <v>0</v>
      </c>
      <c r="BY2" s="5" t="n">
        <v>6</v>
      </c>
      <c r="BZ2" s="5" t="n">
        <v>13</v>
      </c>
      <c r="CA2" s="5" t="n">
        <v>0</v>
      </c>
      <c r="CB2" s="5" t="n">
        <v>0</v>
      </c>
      <c r="CC2" s="5" t="n">
        <v>0</v>
      </c>
      <c r="CD2" s="5" t="n">
        <v>0</v>
      </c>
      <c r="CE2" s="5" t="n">
        <v>0</v>
      </c>
      <c r="CF2" s="5" t="n">
        <v>0</v>
      </c>
      <c r="CG2" s="5" t="n">
        <v>0</v>
      </c>
      <c r="CH2" s="5" t="n">
        <v>0</v>
      </c>
      <c r="CI2" s="5" t="n">
        <v>0</v>
      </c>
      <c r="CJ2" s="5" t="n">
        <v>0</v>
      </c>
      <c r="CK2" s="5" t="n">
        <v>0</v>
      </c>
      <c r="CL2" s="5" t="n">
        <v>0</v>
      </c>
      <c r="CM2" s="5" t="n">
        <v>0</v>
      </c>
      <c r="CN2" s="5" t="n">
        <v>0</v>
      </c>
      <c r="CO2" s="5" t="n">
        <v>0</v>
      </c>
      <c r="CP2" s="5" t="n">
        <v>0</v>
      </c>
      <c r="CQ2" s="5" t="n">
        <v>0</v>
      </c>
      <c r="CR2" s="5" t="n">
        <v>0</v>
      </c>
      <c r="CS2" s="5" t="n">
        <v>0</v>
      </c>
      <c r="CT2" s="5" t="n">
        <v>0</v>
      </c>
      <c r="CU2" s="5" t="n">
        <v>0</v>
      </c>
      <c r="CV2" s="5" t="n">
        <v>0</v>
      </c>
      <c r="CW2" s="5" t="n">
        <v>0</v>
      </c>
      <c r="CX2" s="5" t="n">
        <v>0</v>
      </c>
    </row>
    <row r="3" ht="18" customHeight="1">
      <c r="A3" s="58" t="n">
        <v>46307</v>
      </c>
      <c r="B3" s="4" t="inlineStr">
        <is>
          <t>SHC3074A00147</t>
        </is>
      </c>
      <c r="C3" s="4" t="inlineStr">
        <is>
          <t>Chengalpattu-PIU</t>
        </is>
      </c>
      <c r="D3" s="4" t="inlineStr">
        <is>
          <t>Section-1</t>
        </is>
      </c>
      <c r="E3" s="4" t="inlineStr">
        <is>
          <t>28-53</t>
        </is>
      </c>
      <c r="F3" s="5" t="n">
        <v>9030</v>
      </c>
      <c r="G3" s="5" t="n">
        <v>8245</v>
      </c>
      <c r="H3" s="5" t="n">
        <v>750</v>
      </c>
      <c r="I3" s="5" t="n">
        <v>42</v>
      </c>
      <c r="J3" s="5" t="n">
        <v>3</v>
      </c>
      <c r="K3" s="6" t="n">
        <v>0.0714285714285714</v>
      </c>
      <c r="L3" s="6" t="n">
        <v>0.928571428571428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0</v>
      </c>
      <c r="BO3" s="5" t="n">
        <v>0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0</v>
      </c>
      <c r="BU3" s="5" t="n">
        <v>0</v>
      </c>
      <c r="BV3" s="5" t="n">
        <v>0</v>
      </c>
      <c r="BW3" s="5" t="n">
        <v>0</v>
      </c>
      <c r="BX3" s="5" t="n">
        <v>0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21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0</v>
      </c>
      <c r="CM3" s="5" t="n">
        <v>0</v>
      </c>
      <c r="CN3" s="5" t="n">
        <v>0</v>
      </c>
      <c r="CO3" s="5" t="n">
        <v>3</v>
      </c>
      <c r="CP3" s="5" t="n">
        <v>21</v>
      </c>
      <c r="CQ3" s="5" t="n">
        <v>0</v>
      </c>
      <c r="CR3" s="5" t="n">
        <v>0</v>
      </c>
      <c r="CS3" s="5" t="n">
        <v>0</v>
      </c>
      <c r="CT3" s="5" t="n">
        <v>0</v>
      </c>
      <c r="CU3" s="5" t="n">
        <v>0</v>
      </c>
      <c r="CV3" s="5" t="n">
        <v>0</v>
      </c>
      <c r="CW3" s="5" t="n">
        <v>0</v>
      </c>
      <c r="CX3" s="5" t="n">
        <v>0</v>
      </c>
    </row>
    <row r="4" ht="18" customHeight="1">
      <c r="A4" s="58" t="n">
        <v>46307</v>
      </c>
      <c r="B4" s="4" t="inlineStr">
        <is>
          <t>SHC3074A00009</t>
        </is>
      </c>
      <c r="C4" s="4" t="inlineStr">
        <is>
          <t>Chengalpattu-PIU</t>
        </is>
      </c>
      <c r="D4" s="4" t="inlineStr">
        <is>
          <t>Section-3</t>
        </is>
      </c>
      <c r="E4" s="4" t="inlineStr">
        <is>
          <t>103-120</t>
        </is>
      </c>
      <c r="F4" s="5" t="n">
        <v>1600</v>
      </c>
      <c r="G4" s="5" t="n">
        <v>1599</v>
      </c>
      <c r="H4" s="5" t="n">
        <v>0</v>
      </c>
      <c r="I4" s="5" t="n">
        <v>6</v>
      </c>
      <c r="J4" s="5" t="n">
        <v>0</v>
      </c>
      <c r="K4" s="6" t="n">
        <v>0</v>
      </c>
      <c r="L4" s="6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0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0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2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0</v>
      </c>
      <c r="CN4" s="5" t="n">
        <v>0</v>
      </c>
      <c r="CO4" s="5" t="n">
        <v>0</v>
      </c>
      <c r="CP4" s="5" t="n">
        <v>0</v>
      </c>
      <c r="CQ4" s="5" t="n">
        <v>4</v>
      </c>
      <c r="CR4" s="5" t="n">
        <v>0</v>
      </c>
      <c r="CS4" s="5" t="n">
        <v>0</v>
      </c>
      <c r="CT4" s="5" t="n">
        <v>0</v>
      </c>
      <c r="CU4" s="5" t="n">
        <v>0</v>
      </c>
      <c r="CV4" s="5" t="n">
        <v>0</v>
      </c>
      <c r="CW4" s="5" t="n">
        <v>0</v>
      </c>
      <c r="CX4" s="5" t="n">
        <v>0</v>
      </c>
    </row>
    <row r="5" ht="18" customHeight="1">
      <c r="A5" s="58" t="n">
        <v>46307</v>
      </c>
      <c r="B5" s="4" t="inlineStr">
        <is>
          <t>SHC3074A00016</t>
        </is>
      </c>
      <c r="C5" s="4" t="inlineStr">
        <is>
          <t>Chengalpattu-PIU</t>
        </is>
      </c>
      <c r="D5" s="4" t="inlineStr">
        <is>
          <t>Section-2</t>
        </is>
      </c>
      <c r="E5" s="4" t="inlineStr">
        <is>
          <t>54-102</t>
        </is>
      </c>
      <c r="F5" s="5" t="n">
        <v>2400</v>
      </c>
      <c r="G5" s="5" t="n">
        <v>364</v>
      </c>
      <c r="H5" s="5" t="n">
        <v>0</v>
      </c>
      <c r="I5" s="5" t="n">
        <v>8</v>
      </c>
      <c r="J5" s="5" t="n">
        <v>0</v>
      </c>
      <c r="K5" s="6" t="n">
        <v>0</v>
      </c>
      <c r="L5" s="6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8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</row>
    <row r="6" ht="18" customHeight="1">
      <c r="A6" s="58" t="n">
        <v>46307</v>
      </c>
      <c r="B6" s="4" t="inlineStr">
        <is>
          <t>SHC3074A00101</t>
        </is>
      </c>
      <c r="C6" s="4" t="inlineStr">
        <is>
          <t>Chengalpattu-PIU</t>
        </is>
      </c>
      <c r="D6" s="4" t="inlineStr">
        <is>
          <t>Section-1</t>
        </is>
      </c>
      <c r="E6" s="4" t="inlineStr">
        <is>
          <t>28-53</t>
        </is>
      </c>
      <c r="F6" s="5" t="n">
        <v>2400</v>
      </c>
      <c r="G6" s="5" t="n">
        <v>2474</v>
      </c>
      <c r="H6" s="5" t="n">
        <v>0</v>
      </c>
      <c r="I6" s="5" t="n">
        <v>8</v>
      </c>
      <c r="J6" s="5" t="n">
        <v>0</v>
      </c>
      <c r="K6" s="6" t="n">
        <v>0</v>
      </c>
      <c r="L6" s="6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8</v>
      </c>
      <c r="CR6" s="5" t="n">
        <v>0</v>
      </c>
      <c r="CS6" s="5" t="n">
        <v>0</v>
      </c>
      <c r="CT6" s="5" t="n">
        <v>0</v>
      </c>
      <c r="CU6" s="5" t="n">
        <v>0</v>
      </c>
      <c r="CV6" s="5" t="n">
        <v>0</v>
      </c>
      <c r="CW6" s="5" t="n">
        <v>0</v>
      </c>
      <c r="CX6" s="5" t="n">
        <v>0</v>
      </c>
    </row>
    <row r="7" ht="18" customHeight="1">
      <c r="A7" s="58" t="n">
        <v>46307</v>
      </c>
      <c r="B7" s="4" t="inlineStr">
        <is>
          <t>SHC3074A00102</t>
        </is>
      </c>
      <c r="C7" s="4" t="inlineStr">
        <is>
          <t>Chengalpattu-PIU</t>
        </is>
      </c>
      <c r="D7" s="4" t="inlineStr">
        <is>
          <t>Section-1</t>
        </is>
      </c>
      <c r="E7" s="4" t="inlineStr">
        <is>
          <t>28-53</t>
        </is>
      </c>
      <c r="F7" s="5" t="n">
        <v>2400</v>
      </c>
      <c r="G7" s="5" t="n">
        <v>5</v>
      </c>
      <c r="H7" s="5" t="n">
        <v>0</v>
      </c>
      <c r="I7" s="5" t="n">
        <v>8</v>
      </c>
      <c r="J7" s="5" t="n">
        <v>0</v>
      </c>
      <c r="K7" s="6" t="n">
        <v>0</v>
      </c>
      <c r="L7" s="6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8</v>
      </c>
      <c r="CR7" s="5" t="n">
        <v>0</v>
      </c>
      <c r="CS7" s="5" t="n">
        <v>0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</row>
    <row r="8" ht="18" customHeight="1">
      <c r="A8" s="58" t="n">
        <v>46307</v>
      </c>
      <c r="B8" s="4" t="inlineStr">
        <is>
          <t>SHC3074A00082</t>
        </is>
      </c>
      <c r="C8" s="4" t="inlineStr">
        <is>
          <t>Chengalpattu-PIU</t>
        </is>
      </c>
      <c r="D8" s="4" t="inlineStr">
        <is>
          <t>Section-2</t>
        </is>
      </c>
      <c r="E8" s="4" t="inlineStr">
        <is>
          <t>54-102</t>
        </is>
      </c>
      <c r="F8" s="5" t="n">
        <v>1500</v>
      </c>
      <c r="G8" s="5" t="n">
        <v>1329</v>
      </c>
      <c r="H8" s="5" t="n">
        <v>150</v>
      </c>
      <c r="I8" s="5" t="n">
        <v>10</v>
      </c>
      <c r="J8" s="5" t="n">
        <v>1</v>
      </c>
      <c r="K8" s="6" t="n">
        <v>0.1</v>
      </c>
      <c r="L8" s="6" t="n">
        <v>0.9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0</v>
      </c>
      <c r="BY8" s="5" t="n">
        <v>1</v>
      </c>
      <c r="BZ8" s="5" t="n">
        <v>10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0</v>
      </c>
      <c r="CR8" s="5" t="n">
        <v>0</v>
      </c>
      <c r="CS8" s="5" t="n">
        <v>0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</row>
    <row r="9" ht="18" customHeight="1">
      <c r="A9" s="58" t="n">
        <v>46307</v>
      </c>
      <c r="B9" s="4" t="inlineStr">
        <is>
          <t>SHC3074A00110</t>
        </is>
      </c>
      <c r="C9" s="4" t="inlineStr">
        <is>
          <t>Chengalpattu-PIU</t>
        </is>
      </c>
      <c r="D9" s="4" t="inlineStr">
        <is>
          <t>Section-2</t>
        </is>
      </c>
      <c r="E9" s="4" t="inlineStr">
        <is>
          <t>54-102</t>
        </is>
      </c>
      <c r="F9" s="5" t="n">
        <v>2400</v>
      </c>
      <c r="G9" s="5" t="n">
        <v>2438</v>
      </c>
      <c r="H9" s="5" t="n">
        <v>0</v>
      </c>
      <c r="I9" s="5" t="n">
        <v>8</v>
      </c>
      <c r="J9" s="5" t="n">
        <v>0</v>
      </c>
      <c r="K9" s="6" t="n">
        <v>0</v>
      </c>
      <c r="L9" s="6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8</v>
      </c>
      <c r="CR9" s="5" t="n">
        <v>0</v>
      </c>
      <c r="CS9" s="5" t="n">
        <v>0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</row>
    <row r="10" ht="18" customHeight="1">
      <c r="A10" s="58" t="n">
        <v>46307</v>
      </c>
      <c r="B10" s="4" t="inlineStr">
        <is>
          <t>SHC3074A00045</t>
        </is>
      </c>
      <c r="C10" s="4" t="inlineStr">
        <is>
          <t>Chengalpattu-PIU</t>
        </is>
      </c>
      <c r="D10" s="4" t="inlineStr">
        <is>
          <t>Section-1</t>
        </is>
      </c>
      <c r="E10" s="4" t="inlineStr">
        <is>
          <t>28-53</t>
        </is>
      </c>
      <c r="F10" s="5" t="n">
        <v>8400</v>
      </c>
      <c r="G10" s="5" t="n">
        <v>9326</v>
      </c>
      <c r="H10" s="5" t="n">
        <v>0</v>
      </c>
      <c r="I10" s="5" t="n">
        <v>38</v>
      </c>
      <c r="J10" s="5" t="n">
        <v>0</v>
      </c>
      <c r="K10" s="6" t="n">
        <v>0</v>
      </c>
      <c r="L10" s="6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0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30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</v>
      </c>
      <c r="CQ10" s="5" t="n">
        <v>8</v>
      </c>
      <c r="CR10" s="5" t="n">
        <v>0</v>
      </c>
      <c r="CS10" s="5" t="n">
        <v>0</v>
      </c>
      <c r="CT10" s="5" t="n">
        <v>0</v>
      </c>
      <c r="CU10" s="5" t="n">
        <v>0</v>
      </c>
      <c r="CV10" s="5" t="n">
        <v>0</v>
      </c>
      <c r="CW10" s="5" t="n">
        <v>0</v>
      </c>
      <c r="CX10" s="5" t="n">
        <v>0</v>
      </c>
    </row>
    <row r="11" ht="18" customHeight="1">
      <c r="A11" s="58" t="n">
        <v>46307</v>
      </c>
      <c r="B11" s="4" t="inlineStr">
        <is>
          <t>SHC3074A00053</t>
        </is>
      </c>
      <c r="C11" s="4" t="inlineStr">
        <is>
          <t>Chengalpattu-PIU</t>
        </is>
      </c>
      <c r="D11" s="4" t="inlineStr">
        <is>
          <t>Section-2</t>
        </is>
      </c>
      <c r="E11" s="4" t="inlineStr">
        <is>
          <t>54-102</t>
        </is>
      </c>
      <c r="F11" s="5" t="n">
        <v>3900</v>
      </c>
      <c r="G11" s="5" t="n">
        <v>4064</v>
      </c>
      <c r="H11" s="5" t="n">
        <v>0</v>
      </c>
      <c r="I11" s="5" t="n">
        <v>26</v>
      </c>
      <c r="J11" s="5" t="n">
        <v>0</v>
      </c>
      <c r="K11" s="6" t="n">
        <v>0</v>
      </c>
      <c r="L11" s="6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0</v>
      </c>
      <c r="BW11" s="5" t="n">
        <v>0</v>
      </c>
      <c r="BX11" s="5" t="n">
        <v>0</v>
      </c>
      <c r="BY11" s="5" t="n">
        <v>0</v>
      </c>
      <c r="BZ11" s="5" t="n">
        <v>26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0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</row>
    <row r="12" ht="18" customHeight="1">
      <c r="A12" s="58" t="n">
        <v>46307</v>
      </c>
      <c r="B12" s="4" t="inlineStr">
        <is>
          <t>SHC3074A00005</t>
        </is>
      </c>
      <c r="C12" s="4" t="inlineStr">
        <is>
          <t>Chengalpattu-PIU</t>
        </is>
      </c>
      <c r="D12" s="4" t="inlineStr">
        <is>
          <t>Section-2</t>
        </is>
      </c>
      <c r="E12" s="4" t="inlineStr">
        <is>
          <t>54-102</t>
        </is>
      </c>
      <c r="F12" s="5" t="n">
        <v>3300</v>
      </c>
      <c r="G12" s="5" t="n">
        <v>2928</v>
      </c>
      <c r="H12" s="5" t="n">
        <v>300</v>
      </c>
      <c r="I12" s="5" t="n">
        <v>11</v>
      </c>
      <c r="J12" s="5" t="n">
        <v>1</v>
      </c>
      <c r="K12" s="6" t="n">
        <v>0.0909090909090909</v>
      </c>
      <c r="L12" s="6" t="n">
        <v>0.9090909090909089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</v>
      </c>
      <c r="CQ12" s="5" t="n">
        <v>11</v>
      </c>
      <c r="CR12" s="5" t="n">
        <v>1</v>
      </c>
      <c r="CS12" s="5" t="n">
        <v>0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0</v>
      </c>
    </row>
    <row r="13" ht="18" customHeight="1">
      <c r="A13" s="58" t="n">
        <v>46307</v>
      </c>
      <c r="B13" s="4" t="inlineStr">
        <is>
          <t>SHC3074A00106</t>
        </is>
      </c>
      <c r="C13" s="4" t="inlineStr">
        <is>
          <t>Chengalpattu-PIU</t>
        </is>
      </c>
      <c r="D13" s="4" t="inlineStr">
        <is>
          <t>Section-1</t>
        </is>
      </c>
      <c r="E13" s="4" t="inlineStr">
        <is>
          <t>28-53</t>
        </is>
      </c>
      <c r="F13" s="5" t="n">
        <v>2400</v>
      </c>
      <c r="G13" s="5" t="n">
        <v>2461</v>
      </c>
      <c r="H13" s="5" t="n">
        <v>0</v>
      </c>
      <c r="I13" s="5" t="n">
        <v>8</v>
      </c>
      <c r="J13" s="5" t="n">
        <v>0</v>
      </c>
      <c r="K13" s="6" t="n">
        <v>0</v>
      </c>
      <c r="L13" s="6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8</v>
      </c>
      <c r="CR13" s="5" t="n">
        <v>0</v>
      </c>
      <c r="CS13" s="5" t="n">
        <v>0</v>
      </c>
      <c r="CT13" s="5" t="n">
        <v>0</v>
      </c>
      <c r="CU13" s="5" t="n">
        <v>0</v>
      </c>
      <c r="CV13" s="5" t="n">
        <v>0</v>
      </c>
      <c r="CW13" s="5" t="n">
        <v>0</v>
      </c>
      <c r="CX13" s="5" t="n">
        <v>0</v>
      </c>
    </row>
    <row r="14" ht="18" customHeight="1">
      <c r="A14" s="58" t="n">
        <v>46307</v>
      </c>
      <c r="B14" s="4" t="inlineStr">
        <is>
          <t>SHC3074A00120</t>
        </is>
      </c>
      <c r="C14" s="4" t="inlineStr">
        <is>
          <t>Chengalpattu-PIU</t>
        </is>
      </c>
      <c r="D14" s="4" t="inlineStr">
        <is>
          <t>Section-3</t>
        </is>
      </c>
      <c r="E14" s="4" t="inlineStr">
        <is>
          <t>103-120</t>
        </is>
      </c>
      <c r="F14" s="5" t="n">
        <v>1020</v>
      </c>
      <c r="G14" s="5" t="n">
        <v>1019</v>
      </c>
      <c r="H14" s="5" t="n">
        <v>0</v>
      </c>
      <c r="I14" s="5" t="n">
        <v>6</v>
      </c>
      <c r="J14" s="5" t="n">
        <v>0</v>
      </c>
      <c r="K14" s="6" t="n">
        <v>0</v>
      </c>
      <c r="L14" s="6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0</v>
      </c>
      <c r="BW14" s="5" t="n">
        <v>0</v>
      </c>
      <c r="BX14" s="5" t="n">
        <v>0</v>
      </c>
      <c r="BY14" s="5" t="n">
        <v>0</v>
      </c>
      <c r="BZ14" s="5" t="n">
        <v>2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4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0</v>
      </c>
      <c r="CR14" s="5" t="n">
        <v>0</v>
      </c>
      <c r="CS14" s="5" t="n">
        <v>0</v>
      </c>
      <c r="CT14" s="5" t="n">
        <v>0</v>
      </c>
      <c r="CU14" s="5" t="n">
        <v>0</v>
      </c>
      <c r="CV14" s="5" t="n">
        <v>0</v>
      </c>
      <c r="CW14" s="5" t="n">
        <v>0</v>
      </c>
      <c r="CX14" s="5" t="n">
        <v>0</v>
      </c>
    </row>
    <row r="15" ht="18" customHeight="1">
      <c r="A15" s="58" t="n">
        <v>46307</v>
      </c>
      <c r="B15" s="4" t="inlineStr">
        <is>
          <t>SHC3074A00098</t>
        </is>
      </c>
      <c r="C15" s="4" t="inlineStr">
        <is>
          <t>Chengalpattu-PIU</t>
        </is>
      </c>
      <c r="D15" s="4" t="inlineStr">
        <is>
          <t>Section-2</t>
        </is>
      </c>
      <c r="E15" s="4" t="inlineStr">
        <is>
          <t>54-102</t>
        </is>
      </c>
      <c r="F15" s="5" t="n">
        <v>3000</v>
      </c>
      <c r="G15" s="5" t="n">
        <v>2466</v>
      </c>
      <c r="H15" s="5" t="n">
        <v>300</v>
      </c>
      <c r="I15" s="5" t="n">
        <v>10</v>
      </c>
      <c r="J15" s="5" t="n">
        <v>1</v>
      </c>
      <c r="K15" s="6" t="n">
        <v>0.1</v>
      </c>
      <c r="L15" s="6" t="n">
        <v>0.9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10</v>
      </c>
      <c r="CR15" s="5" t="n">
        <v>1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</row>
    <row r="16" ht="18" customHeight="1">
      <c r="A16" s="58" t="n">
        <v>46307</v>
      </c>
      <c r="B16" s="4" t="inlineStr">
        <is>
          <t>SHC3074A00020</t>
        </is>
      </c>
      <c r="C16" s="4" t="inlineStr">
        <is>
          <t>Chengalpattu-PIU</t>
        </is>
      </c>
      <c r="D16" s="4" t="inlineStr">
        <is>
          <t>Section-3</t>
        </is>
      </c>
      <c r="E16" s="4" t="inlineStr">
        <is>
          <t>103-120</t>
        </is>
      </c>
      <c r="F16" s="5" t="n">
        <v>2400</v>
      </c>
      <c r="G16" s="5" t="n">
        <v>1859</v>
      </c>
      <c r="H16" s="5" t="n">
        <v>0</v>
      </c>
      <c r="I16" s="5" t="n">
        <v>8</v>
      </c>
      <c r="J16" s="5" t="n">
        <v>0</v>
      </c>
      <c r="K16" s="6" t="n">
        <v>0</v>
      </c>
      <c r="L16" s="6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8</v>
      </c>
      <c r="CR16" s="5" t="n">
        <v>0</v>
      </c>
      <c r="CS16" s="5" t="n">
        <v>0</v>
      </c>
      <c r="CT16" s="5" t="n">
        <v>0</v>
      </c>
      <c r="CU16" s="5" t="n">
        <v>0</v>
      </c>
      <c r="CV16" s="5" t="n">
        <v>0</v>
      </c>
      <c r="CW16" s="5" t="n">
        <v>0</v>
      </c>
      <c r="CX16" s="5" t="n">
        <v>0</v>
      </c>
    </row>
    <row r="17" ht="18" customHeight="1">
      <c r="A17" s="58" t="n">
        <v>46307</v>
      </c>
      <c r="B17" s="4" t="inlineStr">
        <is>
          <t>SHC3074A00042</t>
        </is>
      </c>
      <c r="C17" s="4" t="inlineStr">
        <is>
          <t>Chengalpattu-PIU</t>
        </is>
      </c>
      <c r="D17" s="4" t="inlineStr">
        <is>
          <t>Section-1</t>
        </is>
      </c>
      <c r="E17" s="4" t="inlineStr">
        <is>
          <t>28-53</t>
        </is>
      </c>
      <c r="F17" s="5" t="n">
        <v>7500</v>
      </c>
      <c r="G17" s="5" t="n">
        <v>6200</v>
      </c>
      <c r="H17" s="5" t="n">
        <v>0</v>
      </c>
      <c r="I17" s="5" t="n">
        <v>42</v>
      </c>
      <c r="J17" s="5" t="n">
        <v>0</v>
      </c>
      <c r="K17" s="6" t="n">
        <v>0</v>
      </c>
      <c r="L17" s="6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0</v>
      </c>
      <c r="BW17" s="5" t="n">
        <v>0</v>
      </c>
      <c r="BX17" s="5" t="n">
        <v>0</v>
      </c>
      <c r="BY17" s="5" t="n">
        <v>0</v>
      </c>
      <c r="BZ17" s="5" t="n">
        <v>34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8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</row>
    <row r="18" ht="18" customHeight="1">
      <c r="A18" s="58" t="n">
        <v>46307</v>
      </c>
      <c r="B18" s="4" t="inlineStr">
        <is>
          <t>SHC3074A00119</t>
        </is>
      </c>
      <c r="C18" s="4" t="inlineStr">
        <is>
          <t>Chengalpattu-PIU</t>
        </is>
      </c>
      <c r="D18" s="4" t="inlineStr">
        <is>
          <t>Section-1</t>
        </is>
      </c>
      <c r="E18" s="4" t="inlineStr">
        <is>
          <t>28-53</t>
        </is>
      </c>
      <c r="F18" s="5" t="n">
        <v>11020</v>
      </c>
      <c r="G18" s="5" t="n">
        <v>12691</v>
      </c>
      <c r="H18" s="5" t="n">
        <v>0</v>
      </c>
      <c r="I18" s="5" t="n">
        <v>58</v>
      </c>
      <c r="J18" s="5" t="n">
        <v>0</v>
      </c>
      <c r="K18" s="6" t="n">
        <v>0</v>
      </c>
      <c r="L18" s="6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29</v>
      </c>
      <c r="CG18" s="5" t="n">
        <v>0</v>
      </c>
      <c r="CH18" s="5" t="n">
        <v>29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</row>
    <row r="19" ht="18" customHeight="1">
      <c r="A19" s="58" t="n">
        <v>46307</v>
      </c>
      <c r="B19" s="4" t="inlineStr">
        <is>
          <t>SHC3074A00036</t>
        </is>
      </c>
      <c r="C19" s="4" t="inlineStr">
        <is>
          <t>Chengalpattu-PIU</t>
        </is>
      </c>
      <c r="D19" s="4" t="inlineStr">
        <is>
          <t>Section-2</t>
        </is>
      </c>
      <c r="E19" s="4" t="inlineStr">
        <is>
          <t>54-102</t>
        </is>
      </c>
      <c r="F19" s="5" t="n">
        <v>3520</v>
      </c>
      <c r="G19" s="5" t="n">
        <v>4033</v>
      </c>
      <c r="H19" s="5" t="n">
        <v>0</v>
      </c>
      <c r="I19" s="5" t="n">
        <v>16</v>
      </c>
      <c r="J19" s="5" t="n">
        <v>0</v>
      </c>
      <c r="K19" s="6" t="n">
        <v>0</v>
      </c>
      <c r="L19" s="6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16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0</v>
      </c>
      <c r="CR19" s="5" t="n">
        <v>0</v>
      </c>
      <c r="CS19" s="5" t="n">
        <v>0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</row>
    <row r="20" ht="18" customHeight="1">
      <c r="A20" s="58" t="n">
        <v>46307</v>
      </c>
      <c r="B20" s="4" t="inlineStr">
        <is>
          <t>SHC3074A00057</t>
        </is>
      </c>
      <c r="C20" s="4" t="inlineStr">
        <is>
          <t>Chengalpattu-PIU</t>
        </is>
      </c>
      <c r="D20" s="4" t="inlineStr">
        <is>
          <t>Section-2</t>
        </is>
      </c>
      <c r="E20" s="4" t="inlineStr">
        <is>
          <t>54-102</t>
        </is>
      </c>
      <c r="F20" s="5" t="n">
        <v>13230</v>
      </c>
      <c r="G20" s="5" t="n">
        <v>13951</v>
      </c>
      <c r="H20" s="5" t="n">
        <v>0</v>
      </c>
      <c r="I20" s="5" t="n">
        <v>82</v>
      </c>
      <c r="J20" s="5" t="n">
        <v>0</v>
      </c>
      <c r="K20" s="6" t="n">
        <v>0</v>
      </c>
      <c r="L20" s="6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0</v>
      </c>
      <c r="BY20" s="5" t="n">
        <v>0</v>
      </c>
      <c r="BZ20" s="5" t="n">
        <v>61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6</v>
      </c>
      <c r="CG20" s="5" t="n">
        <v>0</v>
      </c>
      <c r="CH20" s="5" t="n">
        <v>15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0</v>
      </c>
      <c r="CR20" s="5" t="n">
        <v>0</v>
      </c>
      <c r="CS20" s="5" t="n">
        <v>0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</row>
    <row r="21" ht="18" customHeight="1">
      <c r="A21" s="58" t="n">
        <v>46307</v>
      </c>
      <c r="B21" s="4" t="inlineStr">
        <is>
          <t>SHC3074A00052</t>
        </is>
      </c>
      <c r="C21" s="4" t="inlineStr">
        <is>
          <t>Chengalpattu-PIU</t>
        </is>
      </c>
      <c r="D21" s="4" t="inlineStr">
        <is>
          <t>Section-1</t>
        </is>
      </c>
      <c r="E21" s="4" t="inlineStr">
        <is>
          <t>28-53</t>
        </is>
      </c>
      <c r="F21" s="5" t="n">
        <v>11180</v>
      </c>
      <c r="G21" s="5" t="n">
        <v>8468</v>
      </c>
      <c r="H21" s="5" t="n">
        <v>2680</v>
      </c>
      <c r="I21" s="5" t="n">
        <v>52</v>
      </c>
      <c r="J21" s="5" t="n">
        <v>11</v>
      </c>
      <c r="K21" s="6" t="n">
        <v>0.211538461538461</v>
      </c>
      <c r="L21" s="6" t="n">
        <v>0.788461538461538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0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1</v>
      </c>
      <c r="CF21" s="5" t="n">
        <v>26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10</v>
      </c>
      <c r="CP21" s="5" t="n">
        <v>26</v>
      </c>
      <c r="CQ21" s="5" t="n">
        <v>0</v>
      </c>
      <c r="CR21" s="5" t="n">
        <v>0</v>
      </c>
      <c r="CS21" s="5" t="n">
        <v>0</v>
      </c>
      <c r="CT21" s="5" t="n">
        <v>0</v>
      </c>
      <c r="CU21" s="5" t="n">
        <v>0</v>
      </c>
      <c r="CV21" s="5" t="n">
        <v>0</v>
      </c>
      <c r="CW21" s="5" t="n">
        <v>0</v>
      </c>
      <c r="CX21" s="5" t="n">
        <v>0</v>
      </c>
    </row>
    <row r="22" ht="18" customHeight="1">
      <c r="A22" s="58" t="n">
        <v>46307</v>
      </c>
      <c r="B22" s="4" t="inlineStr">
        <is>
          <t>SHC3074A00074</t>
        </is>
      </c>
      <c r="C22" s="4" t="inlineStr">
        <is>
          <t>Chengalpattu-PIU</t>
        </is>
      </c>
      <c r="D22" s="4" t="inlineStr">
        <is>
          <t>Section-2</t>
        </is>
      </c>
      <c r="E22" s="4" t="inlineStr">
        <is>
          <t>54-102</t>
        </is>
      </c>
      <c r="F22" s="5" t="n">
        <v>4700</v>
      </c>
      <c r="G22" s="5" t="n">
        <v>4993</v>
      </c>
      <c r="H22" s="5" t="n">
        <v>0</v>
      </c>
      <c r="I22" s="5" t="n">
        <v>22</v>
      </c>
      <c r="J22" s="5" t="n">
        <v>0</v>
      </c>
      <c r="K22" s="6" t="n">
        <v>0</v>
      </c>
      <c r="L22" s="6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8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14</v>
      </c>
      <c r="CQ22" s="5" t="n">
        <v>0</v>
      </c>
      <c r="CR22" s="5" t="n">
        <v>0</v>
      </c>
      <c r="CS22" s="5" t="n">
        <v>0</v>
      </c>
      <c r="CT22" s="5" t="n">
        <v>0</v>
      </c>
      <c r="CU22" s="5" t="n">
        <v>0</v>
      </c>
      <c r="CV22" s="5" t="n">
        <v>0</v>
      </c>
      <c r="CW22" s="5" t="n">
        <v>0</v>
      </c>
      <c r="CX22" s="5" t="n">
        <v>0</v>
      </c>
    </row>
    <row r="23" ht="18" customHeight="1">
      <c r="A23" s="58" t="n">
        <v>46307</v>
      </c>
      <c r="B23" s="4" t="inlineStr">
        <is>
          <t>SHC3074A00031</t>
        </is>
      </c>
      <c r="C23" s="4" t="inlineStr">
        <is>
          <t>Chengalpattu-PIU</t>
        </is>
      </c>
      <c r="D23" s="4" t="inlineStr">
        <is>
          <t>Section-1</t>
        </is>
      </c>
      <c r="E23" s="4" t="inlineStr">
        <is>
          <t>28-53</t>
        </is>
      </c>
      <c r="F23" s="5" t="n">
        <v>5700</v>
      </c>
      <c r="G23" s="5" t="n">
        <v>5617</v>
      </c>
      <c r="H23" s="5" t="n">
        <v>0</v>
      </c>
      <c r="I23" s="5" t="n">
        <v>38</v>
      </c>
      <c r="J23" s="5" t="n">
        <v>0</v>
      </c>
      <c r="K23" s="6" t="n">
        <v>0</v>
      </c>
      <c r="L23" s="6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0</v>
      </c>
      <c r="BZ23" s="5" t="n">
        <v>38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0</v>
      </c>
      <c r="CR23" s="5" t="n">
        <v>0</v>
      </c>
      <c r="CS23" s="5" t="n">
        <v>0</v>
      </c>
      <c r="CT23" s="5" t="n">
        <v>0</v>
      </c>
      <c r="CU23" s="5" t="n">
        <v>0</v>
      </c>
      <c r="CV23" s="5" t="n">
        <v>0</v>
      </c>
      <c r="CW23" s="5" t="n">
        <v>0</v>
      </c>
      <c r="CX23" s="5" t="n">
        <v>0</v>
      </c>
    </row>
    <row r="24" ht="18" customHeight="1">
      <c r="A24" s="58" t="n">
        <v>46307</v>
      </c>
      <c r="B24" s="4" t="inlineStr">
        <is>
          <t>SHC3074A00027</t>
        </is>
      </c>
      <c r="C24" s="4" t="inlineStr">
        <is>
          <t>Chengalpattu-PIU</t>
        </is>
      </c>
      <c r="D24" s="4" t="inlineStr">
        <is>
          <t>Section-1</t>
        </is>
      </c>
      <c r="E24" s="4" t="inlineStr">
        <is>
          <t>28-53</t>
        </is>
      </c>
      <c r="F24" s="5" t="n">
        <v>5700</v>
      </c>
      <c r="G24" s="5" t="n">
        <v>3962</v>
      </c>
      <c r="H24" s="5" t="n">
        <v>0</v>
      </c>
      <c r="I24" s="5" t="n">
        <v>38</v>
      </c>
      <c r="J24" s="5" t="n">
        <v>0</v>
      </c>
      <c r="K24" s="6" t="n">
        <v>0</v>
      </c>
      <c r="L24" s="6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0</v>
      </c>
      <c r="BT24" s="5" t="n">
        <v>0</v>
      </c>
      <c r="BU24" s="5" t="n">
        <v>0</v>
      </c>
      <c r="BV24" s="5" t="n">
        <v>0</v>
      </c>
      <c r="BW24" s="5" t="n">
        <v>0</v>
      </c>
      <c r="BX24" s="5" t="n">
        <v>0</v>
      </c>
      <c r="BY24" s="5" t="n">
        <v>0</v>
      </c>
      <c r="BZ24" s="5" t="n">
        <v>38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5" t="n">
        <v>0</v>
      </c>
      <c r="CR24" s="5" t="n">
        <v>0</v>
      </c>
      <c r="CS24" s="5" t="n">
        <v>0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</row>
    <row r="25" ht="18" customHeight="1">
      <c r="A25" s="58" t="n">
        <v>46307</v>
      </c>
      <c r="B25" s="4" t="inlineStr">
        <is>
          <t>SHC3074A00051</t>
        </is>
      </c>
      <c r="C25" s="4" t="inlineStr">
        <is>
          <t>Chengalpattu-PIU</t>
        </is>
      </c>
      <c r="D25" s="4" t="inlineStr">
        <is>
          <t>Section-1</t>
        </is>
      </c>
      <c r="E25" s="4" t="inlineStr">
        <is>
          <t>28-53</t>
        </is>
      </c>
      <c r="F25" s="5" t="n">
        <v>10020</v>
      </c>
      <c r="G25" s="5" t="n">
        <v>7994</v>
      </c>
      <c r="H25" s="5" t="n">
        <v>2000</v>
      </c>
      <c r="I25" s="5" t="n">
        <v>55</v>
      </c>
      <c r="J25" s="5" t="n">
        <v>10</v>
      </c>
      <c r="K25" s="6" t="n">
        <v>0.181818181818181</v>
      </c>
      <c r="L25" s="6" t="n">
        <v>0.818181818181818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0</v>
      </c>
      <c r="BT25" s="5" t="n">
        <v>0</v>
      </c>
      <c r="BU25" s="5" t="n">
        <v>0</v>
      </c>
      <c r="BV25" s="5" t="n">
        <v>0</v>
      </c>
      <c r="BW25" s="5" t="n">
        <v>0</v>
      </c>
      <c r="BX25" s="5" t="n">
        <v>0</v>
      </c>
      <c r="BY25" s="5" t="n">
        <v>0</v>
      </c>
      <c r="BZ25" s="5" t="n">
        <v>14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14</v>
      </c>
      <c r="CG25" s="5" t="n">
        <v>10</v>
      </c>
      <c r="CH25" s="5" t="n">
        <v>27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0</v>
      </c>
      <c r="CR25" s="5" t="n">
        <v>0</v>
      </c>
      <c r="CS25" s="5" t="n">
        <v>0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</row>
    <row r="26" ht="18" customHeight="1">
      <c r="A26" s="58" t="n">
        <v>46307</v>
      </c>
      <c r="B26" s="4" t="inlineStr">
        <is>
          <t>SHC3074A00054</t>
        </is>
      </c>
      <c r="C26" s="4" t="inlineStr">
        <is>
          <t>Chengalpattu-PIU</t>
        </is>
      </c>
      <c r="D26" s="4" t="inlineStr">
        <is>
          <t>Section-2</t>
        </is>
      </c>
      <c r="E26" s="4" t="inlineStr">
        <is>
          <t>54-102</t>
        </is>
      </c>
      <c r="F26" s="5" t="n">
        <v>1800</v>
      </c>
      <c r="G26" s="5" t="n">
        <v>2776</v>
      </c>
      <c r="H26" s="5" t="n">
        <v>0</v>
      </c>
      <c r="I26" s="5" t="n">
        <v>12</v>
      </c>
      <c r="J26" s="5" t="n">
        <v>0</v>
      </c>
      <c r="K26" s="6" t="n">
        <v>0</v>
      </c>
      <c r="L26" s="6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0</v>
      </c>
      <c r="BR26" s="5" t="n">
        <v>0</v>
      </c>
      <c r="BS26" s="5" t="n">
        <v>0</v>
      </c>
      <c r="BT26" s="5" t="n">
        <v>0</v>
      </c>
      <c r="BU26" s="5" t="n">
        <v>0</v>
      </c>
      <c r="BV26" s="5" t="n">
        <v>0</v>
      </c>
      <c r="BW26" s="5" t="n">
        <v>0</v>
      </c>
      <c r="BX26" s="5" t="n">
        <v>0</v>
      </c>
      <c r="BY26" s="5" t="n">
        <v>0</v>
      </c>
      <c r="BZ26" s="5" t="n">
        <v>12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0</v>
      </c>
      <c r="CR26" s="5" t="n">
        <v>0</v>
      </c>
      <c r="CS26" s="5" t="n">
        <v>0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</row>
    <row r="27" ht="18" customHeight="1">
      <c r="A27" s="58" t="n">
        <v>46307</v>
      </c>
      <c r="B27" s="4" t="inlineStr">
        <is>
          <t>SHC3074A00143</t>
        </is>
      </c>
      <c r="C27" s="4" t="inlineStr">
        <is>
          <t>Chengalpattu-PIU</t>
        </is>
      </c>
      <c r="D27" s="4" t="inlineStr">
        <is>
          <t>Section-1</t>
        </is>
      </c>
      <c r="E27" s="4" t="inlineStr">
        <is>
          <t>28-53</t>
        </is>
      </c>
      <c r="F27" s="5" t="n">
        <v>11610</v>
      </c>
      <c r="G27" s="5" t="n">
        <v>11319</v>
      </c>
      <c r="H27" s="5" t="n">
        <v>250</v>
      </c>
      <c r="I27" s="5" t="n">
        <v>54</v>
      </c>
      <c r="J27" s="5" t="n">
        <v>1</v>
      </c>
      <c r="K27" s="6" t="n">
        <v>0.0185185185185185</v>
      </c>
      <c r="L27" s="6" t="n">
        <v>0.981481481481481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0</v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27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</v>
      </c>
      <c r="CO27" s="5" t="n">
        <v>1</v>
      </c>
      <c r="CP27" s="5" t="n">
        <v>27</v>
      </c>
      <c r="CQ27" s="5" t="n">
        <v>0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</row>
    <row r="28" ht="18" customHeight="1">
      <c r="A28" s="58" t="n">
        <v>46307</v>
      </c>
      <c r="B28" s="4" t="inlineStr">
        <is>
          <t>SHC3074A00063</t>
        </is>
      </c>
      <c r="C28" s="4" t="inlineStr">
        <is>
          <t>Chengalpattu-PIU</t>
        </is>
      </c>
      <c r="D28" s="4" t="inlineStr">
        <is>
          <t>Section-1</t>
        </is>
      </c>
      <c r="E28" s="4" t="inlineStr">
        <is>
          <t>28-53</t>
        </is>
      </c>
      <c r="F28" s="5" t="n">
        <v>11610</v>
      </c>
      <c r="G28" s="5" t="n">
        <v>11331</v>
      </c>
      <c r="H28" s="5" t="n">
        <v>250</v>
      </c>
      <c r="I28" s="5" t="n">
        <v>54</v>
      </c>
      <c r="J28" s="5" t="n">
        <v>1</v>
      </c>
      <c r="K28" s="6" t="n">
        <v>0.0185185185185185</v>
      </c>
      <c r="L28" s="6" t="n">
        <v>0.981481481481481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0</v>
      </c>
      <c r="BO28" s="5" t="n">
        <v>0</v>
      </c>
      <c r="BP28" s="5" t="n">
        <v>0</v>
      </c>
      <c r="BQ28" s="5" t="n">
        <v>0</v>
      </c>
      <c r="BR28" s="5" t="n">
        <v>0</v>
      </c>
      <c r="BS28" s="5" t="n">
        <v>0</v>
      </c>
      <c r="BT28" s="5" t="n">
        <v>0</v>
      </c>
      <c r="BU28" s="5" t="n">
        <v>0</v>
      </c>
      <c r="BV28" s="5" t="n">
        <v>0</v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27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1</v>
      </c>
      <c r="CP28" s="5" t="n">
        <v>27</v>
      </c>
      <c r="CQ28" s="5" t="n">
        <v>0</v>
      </c>
      <c r="CR28" s="5" t="n">
        <v>0</v>
      </c>
      <c r="CS28" s="5" t="n">
        <v>0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</row>
    <row r="29" ht="18" customHeight="1">
      <c r="A29" s="58" t="n">
        <v>46307</v>
      </c>
      <c r="B29" s="4" t="inlineStr">
        <is>
          <t>SHC3074A00107</t>
        </is>
      </c>
      <c r="C29" s="4" t="inlineStr">
        <is>
          <t>Chengalpattu-PIU</t>
        </is>
      </c>
      <c r="D29" s="4" t="inlineStr">
        <is>
          <t>Section-2</t>
        </is>
      </c>
      <c r="E29" s="4" t="inlineStr">
        <is>
          <t>54-102</t>
        </is>
      </c>
      <c r="F29" s="5" t="n">
        <v>3600</v>
      </c>
      <c r="G29" s="5" t="n">
        <v>3703</v>
      </c>
      <c r="H29" s="5" t="n">
        <v>0</v>
      </c>
      <c r="I29" s="5" t="n">
        <v>12</v>
      </c>
      <c r="J29" s="5" t="n">
        <v>0</v>
      </c>
      <c r="K29" s="6" t="n">
        <v>0</v>
      </c>
      <c r="L29" s="6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12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</row>
    <row r="30" ht="18" customHeight="1">
      <c r="A30" s="58" t="n">
        <v>46307</v>
      </c>
      <c r="B30" s="4" t="inlineStr">
        <is>
          <t>SHC3074A00090</t>
        </is>
      </c>
      <c r="C30" s="4" t="inlineStr">
        <is>
          <t>Chengalpattu-PIU</t>
        </is>
      </c>
      <c r="D30" s="4" t="inlineStr">
        <is>
          <t>Section-2</t>
        </is>
      </c>
      <c r="E30" s="4" t="inlineStr">
        <is>
          <t>54-102</t>
        </is>
      </c>
      <c r="F30" s="5" t="n">
        <v>2400</v>
      </c>
      <c r="G30" s="5" t="n">
        <v>302</v>
      </c>
      <c r="H30" s="5" t="n">
        <v>0</v>
      </c>
      <c r="I30" s="5" t="n">
        <v>16</v>
      </c>
      <c r="J30" s="5" t="n">
        <v>0</v>
      </c>
      <c r="K30" s="6" t="n">
        <v>0</v>
      </c>
      <c r="L30" s="6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16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0</v>
      </c>
      <c r="CR30" s="5" t="n">
        <v>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</row>
    <row r="31" ht="18" customHeight="1">
      <c r="A31" s="58" t="n">
        <v>46307</v>
      </c>
      <c r="B31" s="4" t="inlineStr">
        <is>
          <t>SHC3074A00088</t>
        </is>
      </c>
      <c r="C31" s="4" t="inlineStr">
        <is>
          <t>Chengalpattu-PIU</t>
        </is>
      </c>
      <c r="D31" s="4" t="inlineStr">
        <is>
          <t>Section-3</t>
        </is>
      </c>
      <c r="E31" s="4" t="inlineStr">
        <is>
          <t>103-120</t>
        </is>
      </c>
      <c r="F31" s="5" t="n">
        <v>510</v>
      </c>
      <c r="G31" s="5" t="n">
        <v>500</v>
      </c>
      <c r="H31" s="5" t="n">
        <v>0</v>
      </c>
      <c r="I31" s="5" t="n">
        <v>3</v>
      </c>
      <c r="J31" s="5" t="n">
        <v>0</v>
      </c>
      <c r="K31" s="6" t="n">
        <v>0</v>
      </c>
      <c r="L31" s="6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0</v>
      </c>
      <c r="BY31" s="5" t="n">
        <v>0</v>
      </c>
      <c r="BZ31" s="5" t="n">
        <v>1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2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0</v>
      </c>
      <c r="CR31" s="5" t="n">
        <v>0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0</v>
      </c>
    </row>
    <row r="32" ht="18" customHeight="1">
      <c r="A32" s="58" t="n">
        <v>46307</v>
      </c>
      <c r="B32" s="4" t="inlineStr">
        <is>
          <t>SHC3074A00060</t>
        </is>
      </c>
      <c r="C32" s="4" t="inlineStr">
        <is>
          <t>Chengalpattu-PIU</t>
        </is>
      </c>
      <c r="D32" s="4" t="inlineStr">
        <is>
          <t>Section-1</t>
        </is>
      </c>
      <c r="E32" s="4" t="inlineStr">
        <is>
          <t>28-53</t>
        </is>
      </c>
      <c r="F32" s="5" t="n">
        <v>9000</v>
      </c>
      <c r="G32" s="5" t="n">
        <v>4873</v>
      </c>
      <c r="H32" s="5" t="n">
        <v>4050</v>
      </c>
      <c r="I32" s="5" t="n">
        <v>52</v>
      </c>
      <c r="J32" s="5" t="n">
        <v>19</v>
      </c>
      <c r="K32" s="6" t="n">
        <v>0.365384615384615</v>
      </c>
      <c r="L32" s="6" t="n">
        <v>0.634615384615384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0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0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0</v>
      </c>
      <c r="BY32" s="5" t="n">
        <v>11</v>
      </c>
      <c r="BZ32" s="5" t="n">
        <v>44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8</v>
      </c>
      <c r="CR32" s="5" t="n">
        <v>8</v>
      </c>
      <c r="CS32" s="5" t="n">
        <v>0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</row>
    <row r="33" ht="18" customHeight="1">
      <c r="A33" s="58" t="n">
        <v>46307</v>
      </c>
      <c r="B33" s="4" t="inlineStr">
        <is>
          <t>SHC3074A00003</t>
        </is>
      </c>
      <c r="C33" s="4" t="inlineStr">
        <is>
          <t>Chengalpattu-PIU</t>
        </is>
      </c>
      <c r="D33" s="4" t="inlineStr">
        <is>
          <t>Section-2</t>
        </is>
      </c>
      <c r="E33" s="4" t="inlineStr">
        <is>
          <t>54-102</t>
        </is>
      </c>
      <c r="F33" s="5" t="n">
        <v>2700</v>
      </c>
      <c r="G33" s="5" t="n">
        <v>2739</v>
      </c>
      <c r="H33" s="5" t="n">
        <v>0</v>
      </c>
      <c r="I33" s="5" t="n">
        <v>9</v>
      </c>
      <c r="J33" s="5" t="n">
        <v>0</v>
      </c>
      <c r="K33" s="6" t="n">
        <v>0</v>
      </c>
      <c r="L33" s="6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0</v>
      </c>
      <c r="BN33" s="5" t="n">
        <v>0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0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0</v>
      </c>
      <c r="BY33" s="5" t="n">
        <v>0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9</v>
      </c>
      <c r="CR33" s="5" t="n">
        <v>0</v>
      </c>
      <c r="CS33" s="5" t="n">
        <v>0</v>
      </c>
      <c r="CT33" s="5" t="n">
        <v>0</v>
      </c>
      <c r="CU33" s="5" t="n">
        <v>0</v>
      </c>
      <c r="CV33" s="5" t="n">
        <v>0</v>
      </c>
      <c r="CW33" s="5" t="n">
        <v>0</v>
      </c>
      <c r="CX33" s="5" t="n">
        <v>0</v>
      </c>
    </row>
    <row r="34" ht="18" customHeight="1">
      <c r="A34" s="58" t="n">
        <v>46307</v>
      </c>
      <c r="B34" s="4" t="inlineStr">
        <is>
          <t>SHC3074A00012</t>
        </is>
      </c>
      <c r="C34" s="4" t="inlineStr">
        <is>
          <t>Chengalpattu-PIU</t>
        </is>
      </c>
      <c r="D34" s="4" t="inlineStr">
        <is>
          <t>Section-2</t>
        </is>
      </c>
      <c r="E34" s="4" t="inlineStr">
        <is>
          <t>54-102</t>
        </is>
      </c>
      <c r="F34" s="5" t="n">
        <v>2700</v>
      </c>
      <c r="G34" s="5" t="n">
        <v>2744</v>
      </c>
      <c r="H34" s="5" t="n">
        <v>0</v>
      </c>
      <c r="I34" s="5" t="n">
        <v>9</v>
      </c>
      <c r="J34" s="5" t="n">
        <v>0</v>
      </c>
      <c r="K34" s="6" t="n">
        <v>0</v>
      </c>
      <c r="L34" s="6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5" t="n">
        <v>0</v>
      </c>
      <c r="BQ34" s="5" t="n">
        <v>0</v>
      </c>
      <c r="BR34" s="5" t="n">
        <v>0</v>
      </c>
      <c r="BS34" s="5" t="n">
        <v>0</v>
      </c>
      <c r="BT34" s="5" t="n">
        <v>0</v>
      </c>
      <c r="BU34" s="5" t="n">
        <v>0</v>
      </c>
      <c r="BV34" s="5" t="n">
        <v>0</v>
      </c>
      <c r="BW34" s="5" t="n">
        <v>0</v>
      </c>
      <c r="BX34" s="5" t="n">
        <v>0</v>
      </c>
      <c r="BY34" s="5" t="n">
        <v>0</v>
      </c>
      <c r="BZ34" s="5" t="n">
        <v>0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9</v>
      </c>
      <c r="CR34" s="5" t="n">
        <v>0</v>
      </c>
      <c r="CS34" s="5" t="n">
        <v>0</v>
      </c>
      <c r="CT34" s="5" t="n">
        <v>0</v>
      </c>
      <c r="CU34" s="5" t="n">
        <v>0</v>
      </c>
      <c r="CV34" s="5" t="n">
        <v>0</v>
      </c>
      <c r="CW34" s="5" t="n">
        <v>0</v>
      </c>
      <c r="CX34" s="5" t="n">
        <v>0</v>
      </c>
    </row>
    <row r="35" ht="18" customHeight="1">
      <c r="A35" s="58" t="n">
        <v>46307</v>
      </c>
      <c r="B35" s="4" t="inlineStr">
        <is>
          <t>SHC3074A00103</t>
        </is>
      </c>
      <c r="C35" s="4" t="inlineStr">
        <is>
          <t>Chengalpattu-PIU</t>
        </is>
      </c>
      <c r="D35" s="4" t="inlineStr">
        <is>
          <t>Section-2</t>
        </is>
      </c>
      <c r="E35" s="4" t="inlineStr">
        <is>
          <t>54-102</t>
        </is>
      </c>
      <c r="F35" s="5" t="n">
        <v>2400</v>
      </c>
      <c r="G35" s="5" t="n">
        <v>10</v>
      </c>
      <c r="H35" s="5" t="n">
        <v>0</v>
      </c>
      <c r="I35" s="5" t="n">
        <v>8</v>
      </c>
      <c r="J35" s="5" t="n">
        <v>0</v>
      </c>
      <c r="K35" s="6" t="n">
        <v>0</v>
      </c>
      <c r="L35" s="6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8</v>
      </c>
      <c r="CR35" s="5" t="n">
        <v>0</v>
      </c>
      <c r="CS35" s="5" t="n">
        <v>0</v>
      </c>
      <c r="CT35" s="5" t="n">
        <v>0</v>
      </c>
      <c r="CU35" s="5" t="n">
        <v>0</v>
      </c>
      <c r="CV35" s="5" t="n">
        <v>0</v>
      </c>
      <c r="CW35" s="5" t="n">
        <v>0</v>
      </c>
      <c r="CX35" s="5" t="n">
        <v>0</v>
      </c>
    </row>
    <row r="36" ht="18" customHeight="1">
      <c r="A36" s="58" t="n">
        <v>46307</v>
      </c>
      <c r="B36" s="4" t="inlineStr">
        <is>
          <t>SHC3074A00068</t>
        </is>
      </c>
      <c r="C36" s="4" t="inlineStr">
        <is>
          <t>Chengalpattu-PIU</t>
        </is>
      </c>
      <c r="D36" s="4" t="inlineStr">
        <is>
          <t>Section-2</t>
        </is>
      </c>
      <c r="E36" s="4" t="inlineStr">
        <is>
          <t>54-102</t>
        </is>
      </c>
      <c r="F36" s="5" t="n">
        <v>2100</v>
      </c>
      <c r="G36" s="5" t="n">
        <v>2039</v>
      </c>
      <c r="H36" s="5" t="n">
        <v>0</v>
      </c>
      <c r="I36" s="5" t="n">
        <v>14</v>
      </c>
      <c r="J36" s="5" t="n">
        <v>0</v>
      </c>
      <c r="K36" s="6" t="n">
        <v>0</v>
      </c>
      <c r="L36" s="6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</v>
      </c>
      <c r="BX36" s="5" t="n">
        <v>0</v>
      </c>
      <c r="BY36" s="5" t="n">
        <v>0</v>
      </c>
      <c r="BZ36" s="5" t="n">
        <v>14</v>
      </c>
      <c r="CA36" s="5" t="n">
        <v>0</v>
      </c>
      <c r="CB36" s="5" t="n">
        <v>0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0</v>
      </c>
      <c r="CR36" s="5" t="n">
        <v>0</v>
      </c>
      <c r="CS36" s="5" t="n">
        <v>0</v>
      </c>
      <c r="CT36" s="5" t="n">
        <v>0</v>
      </c>
      <c r="CU36" s="5" t="n">
        <v>0</v>
      </c>
      <c r="CV36" s="5" t="n">
        <v>0</v>
      </c>
      <c r="CW36" s="5" t="n">
        <v>0</v>
      </c>
      <c r="CX36" s="5" t="n">
        <v>0</v>
      </c>
    </row>
    <row r="37" ht="18" customHeight="1">
      <c r="A37" s="58" t="n">
        <v>46307</v>
      </c>
      <c r="B37" s="4" t="inlineStr">
        <is>
          <t>SHC3074A00104</t>
        </is>
      </c>
      <c r="C37" s="4" t="inlineStr">
        <is>
          <t>Chengalpattu-PIU</t>
        </is>
      </c>
      <c r="D37" s="4" t="inlineStr">
        <is>
          <t>Section-1</t>
        </is>
      </c>
      <c r="E37" s="4" t="inlineStr">
        <is>
          <t>28-53</t>
        </is>
      </c>
      <c r="F37" s="5" t="n">
        <v>2400</v>
      </c>
      <c r="G37" s="5" t="n">
        <v>2473</v>
      </c>
      <c r="H37" s="5" t="n">
        <v>0</v>
      </c>
      <c r="I37" s="5" t="n">
        <v>8</v>
      </c>
      <c r="J37" s="5" t="n">
        <v>0</v>
      </c>
      <c r="K37" s="6" t="n">
        <v>0</v>
      </c>
      <c r="L37" s="6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8</v>
      </c>
      <c r="CR37" s="5" t="n">
        <v>0</v>
      </c>
      <c r="CS37" s="5" t="n">
        <v>0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0</v>
      </c>
    </row>
    <row r="38" ht="18" customHeight="1">
      <c r="A38" s="58" t="n">
        <v>46307</v>
      </c>
      <c r="B38" s="4" t="inlineStr">
        <is>
          <t>SHC3074A00029</t>
        </is>
      </c>
      <c r="C38" s="4" t="inlineStr">
        <is>
          <t>Chengalpattu-PIU</t>
        </is>
      </c>
      <c r="D38" s="4" t="inlineStr">
        <is>
          <t>Section-1</t>
        </is>
      </c>
      <c r="E38" s="4" t="inlineStr">
        <is>
          <t>28-53</t>
        </is>
      </c>
      <c r="F38" s="5" t="n">
        <v>4800</v>
      </c>
      <c r="G38" s="5" t="n">
        <v>4394</v>
      </c>
      <c r="H38" s="5" t="n">
        <v>300</v>
      </c>
      <c r="I38" s="5" t="n">
        <v>32</v>
      </c>
      <c r="J38" s="5" t="n">
        <v>2</v>
      </c>
      <c r="K38" s="6" t="n">
        <v>0.0625</v>
      </c>
      <c r="L38" s="6" t="n">
        <v>0.9375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0</v>
      </c>
      <c r="BO38" s="5" t="n">
        <v>0</v>
      </c>
      <c r="BP38" s="5" t="n">
        <v>0</v>
      </c>
      <c r="BQ38" s="5" t="n">
        <v>0</v>
      </c>
      <c r="BR38" s="5" t="n">
        <v>0</v>
      </c>
      <c r="BS38" s="5" t="n">
        <v>0</v>
      </c>
      <c r="BT38" s="5" t="n">
        <v>0</v>
      </c>
      <c r="BU38" s="5" t="n">
        <v>0</v>
      </c>
      <c r="BV38" s="5" t="n">
        <v>0</v>
      </c>
      <c r="BW38" s="5" t="n">
        <v>0</v>
      </c>
      <c r="BX38" s="5" t="n">
        <v>0</v>
      </c>
      <c r="BY38" s="5" t="n">
        <v>2</v>
      </c>
      <c r="BZ38" s="5" t="n">
        <v>32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0</v>
      </c>
      <c r="CM38" s="5" t="n">
        <v>0</v>
      </c>
      <c r="CN38" s="5" t="n">
        <v>0</v>
      </c>
      <c r="CO38" s="5" t="n">
        <v>0</v>
      </c>
      <c r="CP38" s="5" t="n">
        <v>0</v>
      </c>
      <c r="CQ38" s="5" t="n">
        <v>0</v>
      </c>
      <c r="CR38" s="5" t="n">
        <v>0</v>
      </c>
      <c r="CS38" s="5" t="n">
        <v>0</v>
      </c>
      <c r="CT38" s="5" t="n">
        <v>0</v>
      </c>
      <c r="CU38" s="5" t="n">
        <v>0</v>
      </c>
      <c r="CV38" s="5" t="n">
        <v>0</v>
      </c>
      <c r="CW38" s="5" t="n">
        <v>0</v>
      </c>
      <c r="CX38" s="5" t="n">
        <v>0</v>
      </c>
    </row>
    <row r="39" ht="18" customHeight="1">
      <c r="A39" s="58" t="n">
        <v>46307</v>
      </c>
      <c r="B39" s="4" t="inlineStr">
        <is>
          <t>SHC3074A00049</t>
        </is>
      </c>
      <c r="C39" s="4" t="inlineStr">
        <is>
          <t>Chengalpattu-PIU</t>
        </is>
      </c>
      <c r="D39" s="4" t="inlineStr">
        <is>
          <t>Section-2</t>
        </is>
      </c>
      <c r="E39" s="4" t="inlineStr">
        <is>
          <t>54-102</t>
        </is>
      </c>
      <c r="F39" s="5" t="n">
        <v>2700</v>
      </c>
      <c r="G39" s="5" t="n">
        <v>3425</v>
      </c>
      <c r="H39" s="5" t="n">
        <v>0</v>
      </c>
      <c r="I39" s="5" t="n">
        <v>18</v>
      </c>
      <c r="J39" s="5" t="n">
        <v>0</v>
      </c>
      <c r="K39" s="6" t="n">
        <v>0</v>
      </c>
      <c r="L39" s="6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  <c r="BT39" s="5" t="n">
        <v>0</v>
      </c>
      <c r="BU39" s="5" t="n">
        <v>0</v>
      </c>
      <c r="BV39" s="5" t="n">
        <v>0</v>
      </c>
      <c r="BW39" s="5" t="n">
        <v>0</v>
      </c>
      <c r="BX39" s="5" t="n">
        <v>0</v>
      </c>
      <c r="BY39" s="5" t="n">
        <v>0</v>
      </c>
      <c r="BZ39" s="5" t="n">
        <v>18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0</v>
      </c>
      <c r="CN39" s="5" t="n">
        <v>0</v>
      </c>
      <c r="CO39" s="5" t="n">
        <v>0</v>
      </c>
      <c r="CP39" s="5" t="n">
        <v>0</v>
      </c>
      <c r="CQ39" s="5" t="n">
        <v>0</v>
      </c>
      <c r="CR39" s="5" t="n">
        <v>0</v>
      </c>
      <c r="CS39" s="5" t="n">
        <v>0</v>
      </c>
      <c r="CT39" s="5" t="n">
        <v>0</v>
      </c>
      <c r="CU39" s="5" t="n">
        <v>0</v>
      </c>
      <c r="CV39" s="5" t="n">
        <v>0</v>
      </c>
      <c r="CW39" s="5" t="n">
        <v>0</v>
      </c>
      <c r="CX39" s="5" t="n">
        <v>0</v>
      </c>
    </row>
    <row r="40" ht="18" customHeight="1">
      <c r="A40" s="58" t="n">
        <v>46307</v>
      </c>
      <c r="B40" s="4" t="inlineStr">
        <is>
          <t>SHC3074A00047</t>
        </is>
      </c>
      <c r="C40" s="4" t="inlineStr">
        <is>
          <t>Chengalpattu-PIU</t>
        </is>
      </c>
      <c r="D40" s="4" t="inlineStr">
        <is>
          <t>Section-2</t>
        </is>
      </c>
      <c r="E40" s="4" t="inlineStr">
        <is>
          <t>54-102</t>
        </is>
      </c>
      <c r="F40" s="5" t="n">
        <v>3900</v>
      </c>
      <c r="G40" s="5" t="n">
        <v>2928</v>
      </c>
      <c r="H40" s="5" t="n">
        <v>900</v>
      </c>
      <c r="I40" s="5" t="n">
        <v>26</v>
      </c>
      <c r="J40" s="5" t="n">
        <v>6</v>
      </c>
      <c r="K40" s="6" t="n">
        <v>0.23076923076923</v>
      </c>
      <c r="L40" s="6" t="n">
        <v>0.7692307692307691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0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0</v>
      </c>
      <c r="BS40" s="5" t="n">
        <v>0</v>
      </c>
      <c r="BT40" s="5" t="n">
        <v>0</v>
      </c>
      <c r="BU40" s="5" t="n">
        <v>0</v>
      </c>
      <c r="BV40" s="5" t="n">
        <v>0</v>
      </c>
      <c r="BW40" s="5" t="n">
        <v>0</v>
      </c>
      <c r="BX40" s="5" t="n">
        <v>0</v>
      </c>
      <c r="BY40" s="5" t="n">
        <v>6</v>
      </c>
      <c r="BZ40" s="5" t="n">
        <v>26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0</v>
      </c>
      <c r="CM40" s="5" t="n">
        <v>0</v>
      </c>
      <c r="CN40" s="5" t="n">
        <v>0</v>
      </c>
      <c r="CO40" s="5" t="n">
        <v>0</v>
      </c>
      <c r="CP40" s="5" t="n">
        <v>0</v>
      </c>
      <c r="CQ40" s="5" t="n">
        <v>0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</row>
    <row r="41" ht="18" customHeight="1">
      <c r="A41" s="58" t="n">
        <v>46307</v>
      </c>
      <c r="B41" s="4" t="inlineStr">
        <is>
          <t>SHC3074A00084</t>
        </is>
      </c>
      <c r="C41" s="4" t="inlineStr">
        <is>
          <t>Chengalpattu-PIU</t>
        </is>
      </c>
      <c r="D41" s="4" t="inlineStr">
        <is>
          <t>Section-2</t>
        </is>
      </c>
      <c r="E41" s="4" t="inlineStr">
        <is>
          <t>54-102</t>
        </is>
      </c>
      <c r="F41" s="5" t="n">
        <v>12600</v>
      </c>
      <c r="G41" s="5" t="n">
        <v>11754</v>
      </c>
      <c r="H41" s="5" t="n">
        <v>750</v>
      </c>
      <c r="I41" s="5" t="n">
        <v>56</v>
      </c>
      <c r="J41" s="5" t="n">
        <v>3</v>
      </c>
      <c r="K41" s="6" t="n">
        <v>0.0535714285714285</v>
      </c>
      <c r="L41" s="6" t="n">
        <v>0.946428571428571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0</v>
      </c>
      <c r="BS41" s="5" t="n">
        <v>0</v>
      </c>
      <c r="BT41" s="5" t="n">
        <v>0</v>
      </c>
      <c r="BU41" s="5" t="n">
        <v>0</v>
      </c>
      <c r="BV41" s="5" t="n">
        <v>0</v>
      </c>
      <c r="BW41" s="5" t="n">
        <v>0</v>
      </c>
      <c r="BX41" s="5" t="n">
        <v>0</v>
      </c>
      <c r="BY41" s="5" t="n">
        <v>0</v>
      </c>
      <c r="BZ41" s="5" t="n">
        <v>14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0</v>
      </c>
      <c r="CN41" s="5" t="n">
        <v>0</v>
      </c>
      <c r="CO41" s="5" t="n">
        <v>3</v>
      </c>
      <c r="CP41" s="5" t="n">
        <v>42</v>
      </c>
      <c r="CQ41" s="5" t="n">
        <v>0</v>
      </c>
      <c r="CR41" s="5" t="n">
        <v>0</v>
      </c>
      <c r="CS41" s="5" t="n">
        <v>0</v>
      </c>
      <c r="CT41" s="5" t="n">
        <v>0</v>
      </c>
      <c r="CU41" s="5" t="n">
        <v>0</v>
      </c>
      <c r="CV41" s="5" t="n">
        <v>0</v>
      </c>
      <c r="CW41" s="5" t="n">
        <v>0</v>
      </c>
      <c r="CX41" s="5" t="n">
        <v>0</v>
      </c>
    </row>
    <row r="42" ht="18" customHeight="1">
      <c r="A42" s="58" t="n">
        <v>46307</v>
      </c>
      <c r="B42" s="4" t="inlineStr">
        <is>
          <t>SHC3074A00108</t>
        </is>
      </c>
      <c r="C42" s="4" t="inlineStr">
        <is>
          <t>Chengalpattu-PIU</t>
        </is>
      </c>
      <c r="D42" s="4" t="inlineStr">
        <is>
          <t>Section-2</t>
        </is>
      </c>
      <c r="E42" s="4" t="inlineStr">
        <is>
          <t>54-102</t>
        </is>
      </c>
      <c r="F42" s="5" t="n">
        <v>3000</v>
      </c>
      <c r="G42" s="5" t="n">
        <v>2452</v>
      </c>
      <c r="H42" s="5" t="n">
        <v>300</v>
      </c>
      <c r="I42" s="5" t="n">
        <v>10</v>
      </c>
      <c r="J42" s="5" t="n">
        <v>1</v>
      </c>
      <c r="K42" s="6" t="n">
        <v>0.1</v>
      </c>
      <c r="L42" s="6" t="n">
        <v>0.9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</v>
      </c>
      <c r="BT42" s="5" t="n">
        <v>0</v>
      </c>
      <c r="BU42" s="5" t="n">
        <v>0</v>
      </c>
      <c r="BV42" s="5" t="n">
        <v>0</v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</v>
      </c>
      <c r="CK42" s="5" t="n">
        <v>0</v>
      </c>
      <c r="CL42" s="5" t="n">
        <v>0</v>
      </c>
      <c r="CM42" s="5" t="n">
        <v>0</v>
      </c>
      <c r="CN42" s="5" t="n">
        <v>0</v>
      </c>
      <c r="CO42" s="5" t="n">
        <v>0</v>
      </c>
      <c r="CP42" s="5" t="n">
        <v>0</v>
      </c>
      <c r="CQ42" s="5" t="n">
        <v>10</v>
      </c>
      <c r="CR42" s="5" t="n">
        <v>1</v>
      </c>
      <c r="CS42" s="5" t="n">
        <v>0</v>
      </c>
      <c r="CT42" s="5" t="n">
        <v>0</v>
      </c>
      <c r="CU42" s="5" t="n">
        <v>0</v>
      </c>
      <c r="CV42" s="5" t="n">
        <v>0</v>
      </c>
      <c r="CW42" s="5" t="n">
        <v>0</v>
      </c>
      <c r="CX42" s="5" t="n">
        <v>0</v>
      </c>
    </row>
    <row r="43" ht="18" customHeight="1">
      <c r="A43" s="58" t="n">
        <v>46307</v>
      </c>
      <c r="B43" s="4" t="inlineStr">
        <is>
          <t>SHC3074A00039</t>
        </is>
      </c>
      <c r="C43" s="4" t="inlineStr">
        <is>
          <t>Chengalpattu-PIU</t>
        </is>
      </c>
      <c r="D43" s="4" t="inlineStr">
        <is>
          <t>Section-2</t>
        </is>
      </c>
      <c r="E43" s="4" t="inlineStr">
        <is>
          <t>54-102</t>
        </is>
      </c>
      <c r="F43" s="5" t="n">
        <v>1600</v>
      </c>
      <c r="G43" s="5" t="n">
        <v>1339</v>
      </c>
      <c r="H43" s="5" t="n">
        <v>200</v>
      </c>
      <c r="I43" s="5" t="n">
        <v>8</v>
      </c>
      <c r="J43" s="5" t="n">
        <v>1</v>
      </c>
      <c r="K43" s="6" t="n">
        <v>0.125</v>
      </c>
      <c r="L43" s="6" t="n">
        <v>0.875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1</v>
      </c>
      <c r="CH43" s="5" t="n">
        <v>8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0</v>
      </c>
      <c r="CR43" s="5" t="n">
        <v>0</v>
      </c>
      <c r="CS43" s="5" t="n">
        <v>0</v>
      </c>
      <c r="CT43" s="5" t="n">
        <v>0</v>
      </c>
      <c r="CU43" s="5" t="n">
        <v>0</v>
      </c>
      <c r="CV43" s="5" t="n">
        <v>0</v>
      </c>
      <c r="CW43" s="5" t="n">
        <v>0</v>
      </c>
      <c r="CX43" s="5" t="n">
        <v>0</v>
      </c>
    </row>
    <row r="44" ht="18" customHeight="1">
      <c r="A44" s="58" t="n">
        <v>46307</v>
      </c>
      <c r="B44" s="4" t="inlineStr">
        <is>
          <t>SHC3074A00146</t>
        </is>
      </c>
      <c r="C44" s="4" t="inlineStr">
        <is>
          <t>Chengalpattu-PIU</t>
        </is>
      </c>
      <c r="D44" s="4" t="inlineStr">
        <is>
          <t>Section-1</t>
        </is>
      </c>
      <c r="E44" s="4" t="inlineStr">
        <is>
          <t>28-53</t>
        </is>
      </c>
      <c r="F44" s="5" t="n">
        <v>2330</v>
      </c>
      <c r="G44" s="5" t="n">
        <v>2431</v>
      </c>
      <c r="H44" s="5" t="n">
        <v>0</v>
      </c>
      <c r="I44" s="5" t="n">
        <v>12</v>
      </c>
      <c r="J44" s="5" t="n">
        <v>0</v>
      </c>
      <c r="K44" s="6" t="n">
        <v>0</v>
      </c>
      <c r="L44" s="6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T44" s="5" t="n">
        <v>0</v>
      </c>
      <c r="BU44" s="5" t="n">
        <v>0</v>
      </c>
      <c r="BV44" s="5" t="n">
        <v>0</v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6</v>
      </c>
      <c r="CG44" s="5" t="n">
        <v>0</v>
      </c>
      <c r="CH44" s="5" t="n">
        <v>5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1</v>
      </c>
      <c r="CQ44" s="5" t="n">
        <v>0</v>
      </c>
      <c r="CR44" s="5" t="n">
        <v>0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0</v>
      </c>
    </row>
    <row r="45" ht="18" customHeight="1">
      <c r="A45" s="58" t="n">
        <v>46307</v>
      </c>
      <c r="B45" s="4" t="inlineStr">
        <is>
          <t>SHC3074A00022</t>
        </is>
      </c>
      <c r="C45" s="4" t="inlineStr">
        <is>
          <t>Chengalpattu-PIU</t>
        </is>
      </c>
      <c r="D45" s="4" t="inlineStr">
        <is>
          <t>Section-3</t>
        </is>
      </c>
      <c r="E45" s="4" t="inlineStr">
        <is>
          <t>103-120</t>
        </is>
      </c>
      <c r="F45" s="5" t="n">
        <v>2600</v>
      </c>
      <c r="G45" s="5" t="n">
        <v>2758</v>
      </c>
      <c r="H45" s="5" t="n">
        <v>0</v>
      </c>
      <c r="I45" s="5" t="n">
        <v>12</v>
      </c>
      <c r="J45" s="5" t="n">
        <v>0</v>
      </c>
      <c r="K45" s="6" t="n">
        <v>0</v>
      </c>
      <c r="L45" s="6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0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4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8</v>
      </c>
      <c r="CQ45" s="5" t="n">
        <v>0</v>
      </c>
      <c r="CR45" s="5" t="n">
        <v>0</v>
      </c>
      <c r="CS45" s="5" t="n">
        <v>0</v>
      </c>
      <c r="CT45" s="5" t="n">
        <v>0</v>
      </c>
      <c r="CU45" s="5" t="n">
        <v>0</v>
      </c>
      <c r="CV45" s="5" t="n">
        <v>0</v>
      </c>
      <c r="CW45" s="5" t="n">
        <v>0</v>
      </c>
      <c r="CX45" s="5" t="n">
        <v>0</v>
      </c>
    </row>
    <row r="46" ht="18" customHeight="1">
      <c r="A46" s="58" t="n">
        <v>46307</v>
      </c>
      <c r="B46" s="4" t="inlineStr">
        <is>
          <t>SHC3074A00013</t>
        </is>
      </c>
      <c r="C46" s="4" t="inlineStr">
        <is>
          <t>Chengalpattu-PIU</t>
        </is>
      </c>
      <c r="D46" s="4" t="inlineStr">
        <is>
          <t>Section-3</t>
        </is>
      </c>
      <c r="E46" s="4" t="inlineStr">
        <is>
          <t>103-120</t>
        </is>
      </c>
      <c r="F46" s="5" t="n">
        <v>1860</v>
      </c>
      <c r="G46" s="5" t="n">
        <v>1836</v>
      </c>
      <c r="H46" s="5" t="n">
        <v>0</v>
      </c>
      <c r="I46" s="5" t="n">
        <v>9</v>
      </c>
      <c r="J46" s="5" t="n">
        <v>0</v>
      </c>
      <c r="K46" s="6" t="n">
        <v>0</v>
      </c>
      <c r="L46" s="6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</v>
      </c>
      <c r="BT46" s="5" t="n">
        <v>0</v>
      </c>
      <c r="BU46" s="5" t="n">
        <v>0</v>
      </c>
      <c r="BV46" s="5" t="n">
        <v>0</v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3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6</v>
      </c>
      <c r="CM46" s="5" t="n">
        <v>0</v>
      </c>
      <c r="CN46" s="5" t="n">
        <v>0</v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</row>
    <row r="47" ht="18" customHeight="1">
      <c r="A47" s="58" t="n">
        <v>46307</v>
      </c>
      <c r="B47" s="4" t="inlineStr">
        <is>
          <t>SHC3074A00070</t>
        </is>
      </c>
      <c r="C47" s="4" t="inlineStr">
        <is>
          <t>Chengalpattu-PIU</t>
        </is>
      </c>
      <c r="D47" s="4" t="inlineStr">
        <is>
          <t>Section-2</t>
        </is>
      </c>
      <c r="E47" s="4" t="inlineStr">
        <is>
          <t>54-102</t>
        </is>
      </c>
      <c r="F47" s="5" t="n">
        <v>3080</v>
      </c>
      <c r="G47" s="5" t="n">
        <v>3362</v>
      </c>
      <c r="H47" s="5" t="n">
        <v>0</v>
      </c>
      <c r="I47" s="5" t="n">
        <v>14</v>
      </c>
      <c r="J47" s="5" t="n">
        <v>0</v>
      </c>
      <c r="K47" s="6" t="n">
        <v>0</v>
      </c>
      <c r="L47" s="6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0</v>
      </c>
      <c r="BV47" s="5" t="n">
        <v>0</v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14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</row>
    <row r="48" ht="18" customHeight="1">
      <c r="A48" s="58" t="n">
        <v>46307</v>
      </c>
      <c r="B48" s="4" t="inlineStr">
        <is>
          <t>SHC3074A00151</t>
        </is>
      </c>
      <c r="C48" s="4" t="inlineStr">
        <is>
          <t>Chengalpattu-PIU</t>
        </is>
      </c>
      <c r="D48" s="4" t="inlineStr">
        <is>
          <t>Section-1</t>
        </is>
      </c>
      <c r="E48" s="4" t="inlineStr">
        <is>
          <t>28-53</t>
        </is>
      </c>
      <c r="F48" s="5" t="n">
        <v>4730</v>
      </c>
      <c r="G48" s="5" t="n">
        <v>4987</v>
      </c>
      <c r="H48" s="5" t="n">
        <v>0</v>
      </c>
      <c r="I48" s="5" t="n">
        <v>22</v>
      </c>
      <c r="J48" s="5" t="n">
        <v>0</v>
      </c>
      <c r="K48" s="6" t="n">
        <v>0</v>
      </c>
      <c r="L48" s="6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T48" s="5" t="n">
        <v>0</v>
      </c>
      <c r="BU48" s="5" t="n">
        <v>0</v>
      </c>
      <c r="BV48" s="5" t="n">
        <v>0</v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11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11</v>
      </c>
      <c r="CQ48" s="5" t="n">
        <v>0</v>
      </c>
      <c r="CR48" s="5" t="n">
        <v>0</v>
      </c>
      <c r="CS48" s="5" t="n">
        <v>0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</row>
    <row r="49" ht="18" customHeight="1">
      <c r="A49" s="58" t="n">
        <v>46307</v>
      </c>
      <c r="B49" s="4" t="inlineStr">
        <is>
          <t>SHC3074A00100</t>
        </is>
      </c>
      <c r="C49" s="4" t="inlineStr">
        <is>
          <t>Chengalpattu-PIU</t>
        </is>
      </c>
      <c r="D49" s="4" t="inlineStr">
        <is>
          <t>Section-2</t>
        </is>
      </c>
      <c r="E49" s="4" t="inlineStr">
        <is>
          <t>54-102</t>
        </is>
      </c>
      <c r="F49" s="5" t="n">
        <v>3600</v>
      </c>
      <c r="G49" s="5" t="n">
        <v>11</v>
      </c>
      <c r="H49" s="5" t="n">
        <v>0</v>
      </c>
      <c r="I49" s="5" t="n">
        <v>12</v>
      </c>
      <c r="J49" s="5" t="n">
        <v>0</v>
      </c>
      <c r="K49" s="6" t="n">
        <v>0</v>
      </c>
      <c r="L49" s="6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</v>
      </c>
      <c r="BS49" s="5" t="n">
        <v>0</v>
      </c>
      <c r="BT49" s="5" t="n">
        <v>0</v>
      </c>
      <c r="BU49" s="5" t="n">
        <v>0</v>
      </c>
      <c r="BV49" s="5" t="n">
        <v>0</v>
      </c>
      <c r="BW49" s="5" t="n">
        <v>0</v>
      </c>
      <c r="BX49" s="5" t="n">
        <v>0</v>
      </c>
      <c r="BY49" s="5" t="n">
        <v>0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12</v>
      </c>
      <c r="CR49" s="5" t="n">
        <v>0</v>
      </c>
      <c r="CS49" s="5" t="n">
        <v>0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</row>
    <row r="50" ht="18" customHeight="1">
      <c r="A50" s="58" t="n">
        <v>46307</v>
      </c>
      <c r="B50" s="4" t="inlineStr">
        <is>
          <t>SHC3074A00062</t>
        </is>
      </c>
      <c r="C50" s="4" t="inlineStr">
        <is>
          <t>Chengalpattu-PIU</t>
        </is>
      </c>
      <c r="D50" s="4" t="inlineStr">
        <is>
          <t>Section-2</t>
        </is>
      </c>
      <c r="E50" s="4" t="inlineStr">
        <is>
          <t>54-102</t>
        </is>
      </c>
      <c r="F50" s="5" t="n">
        <v>2100</v>
      </c>
      <c r="G50" s="5" t="n">
        <v>1909</v>
      </c>
      <c r="H50" s="5" t="n">
        <v>150</v>
      </c>
      <c r="I50" s="5" t="n">
        <v>14</v>
      </c>
      <c r="J50" s="5" t="n">
        <v>1</v>
      </c>
      <c r="K50" s="6" t="n">
        <v>0.0714285714285714</v>
      </c>
      <c r="L50" s="6" t="n">
        <v>0.928571428571428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0</v>
      </c>
      <c r="BW50" s="5" t="n">
        <v>0</v>
      </c>
      <c r="BX50" s="5" t="n">
        <v>0</v>
      </c>
      <c r="BY50" s="5" t="n">
        <v>1</v>
      </c>
      <c r="BZ50" s="5" t="n">
        <v>14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5" t="n">
        <v>0</v>
      </c>
      <c r="CR50" s="5" t="n">
        <v>0</v>
      </c>
      <c r="CS50" s="5" t="n">
        <v>0</v>
      </c>
      <c r="CT50" s="5" t="n">
        <v>0</v>
      </c>
      <c r="CU50" s="5" t="n">
        <v>0</v>
      </c>
      <c r="CV50" s="5" t="n">
        <v>0</v>
      </c>
      <c r="CW50" s="5" t="n">
        <v>0</v>
      </c>
      <c r="CX50" s="5" t="n">
        <v>0</v>
      </c>
    </row>
    <row r="51" ht="18" customHeight="1">
      <c r="A51" s="58" t="n">
        <v>46307</v>
      </c>
      <c r="B51" s="4" t="inlineStr">
        <is>
          <t>SHC3074A00025</t>
        </is>
      </c>
      <c r="C51" s="4" t="inlineStr">
        <is>
          <t>Chengalpattu-PIU</t>
        </is>
      </c>
      <c r="D51" s="4" t="inlineStr">
        <is>
          <t>Section-3</t>
        </is>
      </c>
      <c r="E51" s="4" t="inlineStr">
        <is>
          <t>103-120</t>
        </is>
      </c>
      <c r="F51" s="5" t="n">
        <v>1530</v>
      </c>
      <c r="G51" s="5" t="n">
        <v>1540</v>
      </c>
      <c r="H51" s="5" t="n">
        <v>0</v>
      </c>
      <c r="I51" s="5" t="n">
        <v>9</v>
      </c>
      <c r="J51" s="5" t="n">
        <v>0</v>
      </c>
      <c r="K51" s="6" t="n">
        <v>0</v>
      </c>
      <c r="L51" s="6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3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6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0</v>
      </c>
      <c r="CS51" s="5" t="n">
        <v>0</v>
      </c>
      <c r="CT51" s="5" t="n">
        <v>0</v>
      </c>
      <c r="CU51" s="5" t="n">
        <v>0</v>
      </c>
      <c r="CV51" s="5" t="n">
        <v>0</v>
      </c>
      <c r="CW51" s="5" t="n">
        <v>0</v>
      </c>
      <c r="CX51" s="5" t="n">
        <v>0</v>
      </c>
    </row>
    <row r="52" ht="18" customHeight="1">
      <c r="A52" s="58" t="n">
        <v>46307</v>
      </c>
      <c r="B52" s="4" t="inlineStr">
        <is>
          <t>SHC3074A00034</t>
        </is>
      </c>
      <c r="C52" s="4" t="inlineStr">
        <is>
          <t>Chengalpattu-PIU</t>
        </is>
      </c>
      <c r="D52" s="4" t="inlineStr">
        <is>
          <t>Section-2</t>
        </is>
      </c>
      <c r="E52" s="4" t="inlineStr">
        <is>
          <t>54-102</t>
        </is>
      </c>
      <c r="F52" s="5" t="n">
        <v>6600</v>
      </c>
      <c r="G52" s="5" t="n">
        <v>8520</v>
      </c>
      <c r="H52" s="5" t="n">
        <v>0</v>
      </c>
      <c r="I52" s="5" t="n">
        <v>44</v>
      </c>
      <c r="J52" s="5" t="n">
        <v>0</v>
      </c>
      <c r="K52" s="6" t="n">
        <v>0</v>
      </c>
      <c r="L52" s="6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T52" s="5" t="n">
        <v>0</v>
      </c>
      <c r="BU52" s="5" t="n">
        <v>0</v>
      </c>
      <c r="BV52" s="5" t="n">
        <v>0</v>
      </c>
      <c r="BW52" s="5" t="n">
        <v>0</v>
      </c>
      <c r="BX52" s="5" t="n">
        <v>0</v>
      </c>
      <c r="BY52" s="5" t="n">
        <v>0</v>
      </c>
      <c r="BZ52" s="5" t="n">
        <v>44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L52" s="5" t="n">
        <v>0</v>
      </c>
      <c r="CM52" s="5" t="n">
        <v>0</v>
      </c>
      <c r="CN52" s="5" t="n">
        <v>0</v>
      </c>
      <c r="CO52" s="5" t="n">
        <v>0</v>
      </c>
      <c r="CP52" s="5" t="n">
        <v>0</v>
      </c>
      <c r="CQ52" s="5" t="n">
        <v>0</v>
      </c>
      <c r="CR52" s="5" t="n">
        <v>0</v>
      </c>
      <c r="CS52" s="5" t="n">
        <v>0</v>
      </c>
      <c r="CT52" s="5" t="n">
        <v>0</v>
      </c>
      <c r="CU52" s="5" t="n">
        <v>0</v>
      </c>
      <c r="CV52" s="5" t="n">
        <v>0</v>
      </c>
      <c r="CW52" s="5" t="n">
        <v>0</v>
      </c>
      <c r="CX52" s="5" t="n">
        <v>0</v>
      </c>
    </row>
    <row r="53" ht="18" customHeight="1">
      <c r="A53" s="58" t="n">
        <v>46307</v>
      </c>
      <c r="B53" s="4" t="inlineStr">
        <is>
          <t>SHC3074A00064</t>
        </is>
      </c>
      <c r="C53" s="4" t="inlineStr">
        <is>
          <t>Chengalpattu-PIU</t>
        </is>
      </c>
      <c r="D53" s="4" t="inlineStr">
        <is>
          <t>Section-2</t>
        </is>
      </c>
      <c r="E53" s="4" t="inlineStr">
        <is>
          <t>54-102</t>
        </is>
      </c>
      <c r="F53" s="5" t="n">
        <v>9000</v>
      </c>
      <c r="G53" s="5" t="n">
        <v>5559</v>
      </c>
      <c r="H53" s="5" t="n">
        <v>3300</v>
      </c>
      <c r="I53" s="5" t="n">
        <v>60</v>
      </c>
      <c r="J53" s="5" t="n">
        <v>22</v>
      </c>
      <c r="K53" s="6" t="n">
        <v>0.366666666666666</v>
      </c>
      <c r="L53" s="6" t="n">
        <v>0.633333333333333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0</v>
      </c>
      <c r="BX53" s="5" t="n">
        <v>0</v>
      </c>
      <c r="BY53" s="5" t="n">
        <v>22</v>
      </c>
      <c r="BZ53" s="5" t="n">
        <v>60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0</v>
      </c>
      <c r="CN53" s="5" t="n">
        <v>0</v>
      </c>
      <c r="CO53" s="5" t="n">
        <v>0</v>
      </c>
      <c r="CP53" s="5" t="n">
        <v>0</v>
      </c>
      <c r="CQ53" s="5" t="n">
        <v>0</v>
      </c>
      <c r="CR53" s="5" t="n">
        <v>0</v>
      </c>
      <c r="CS53" s="5" t="n">
        <v>0</v>
      </c>
      <c r="CT53" s="5" t="n">
        <v>0</v>
      </c>
      <c r="CU53" s="5" t="n">
        <v>0</v>
      </c>
      <c r="CV53" s="5" t="n">
        <v>0</v>
      </c>
      <c r="CW53" s="5" t="n">
        <v>0</v>
      </c>
      <c r="CX53" s="5" t="n">
        <v>0</v>
      </c>
    </row>
    <row r="54" ht="18" customHeight="1">
      <c r="A54" s="58" t="n">
        <v>46307</v>
      </c>
      <c r="B54" s="4" t="inlineStr">
        <is>
          <t>SHC3074A00023</t>
        </is>
      </c>
      <c r="C54" s="4" t="inlineStr">
        <is>
          <t>Chengalpattu-PIU</t>
        </is>
      </c>
      <c r="D54" s="4" t="inlineStr">
        <is>
          <t>Section-2</t>
        </is>
      </c>
      <c r="E54" s="4" t="inlineStr">
        <is>
          <t>54-102</t>
        </is>
      </c>
      <c r="F54" s="5" t="n">
        <v>4350</v>
      </c>
      <c r="G54" s="5" t="n">
        <v>1724</v>
      </c>
      <c r="H54" s="5" t="n">
        <v>0</v>
      </c>
      <c r="I54" s="5" t="n">
        <v>21</v>
      </c>
      <c r="J54" s="5" t="n">
        <v>0</v>
      </c>
      <c r="K54" s="6" t="n">
        <v>0</v>
      </c>
      <c r="L54" s="6" t="n">
        <v>1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0</v>
      </c>
      <c r="BT54" s="5" t="n">
        <v>0</v>
      </c>
      <c r="BU54" s="5" t="n">
        <v>0</v>
      </c>
      <c r="BV54" s="5" t="n">
        <v>0</v>
      </c>
      <c r="BW54" s="5" t="n">
        <v>0</v>
      </c>
      <c r="BX54" s="5" t="n">
        <v>0</v>
      </c>
      <c r="BY54" s="5" t="n">
        <v>0</v>
      </c>
      <c r="BZ54" s="5" t="n">
        <v>13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</v>
      </c>
      <c r="CO54" s="5" t="n">
        <v>0</v>
      </c>
      <c r="CP54" s="5" t="n">
        <v>0</v>
      </c>
      <c r="CQ54" s="5" t="n">
        <v>8</v>
      </c>
      <c r="CR54" s="5" t="n">
        <v>0</v>
      </c>
      <c r="CS54" s="5" t="n">
        <v>0</v>
      </c>
      <c r="CT54" s="5" t="n">
        <v>0</v>
      </c>
      <c r="CU54" s="5" t="n">
        <v>0</v>
      </c>
      <c r="CV54" s="5" t="n">
        <v>0</v>
      </c>
      <c r="CW54" s="5" t="n">
        <v>0</v>
      </c>
      <c r="CX54" s="5" t="n">
        <v>0</v>
      </c>
    </row>
    <row r="55" ht="18" customHeight="1">
      <c r="A55" s="58" t="n">
        <v>46307</v>
      </c>
      <c r="B55" s="4" t="inlineStr">
        <is>
          <t>SHC3074A00028</t>
        </is>
      </c>
      <c r="C55" s="4" t="inlineStr">
        <is>
          <t>Chengalpattu-PIU</t>
        </is>
      </c>
      <c r="D55" s="4" t="inlineStr">
        <is>
          <t>Section-1</t>
        </is>
      </c>
      <c r="E55" s="4" t="inlineStr">
        <is>
          <t>28-53</t>
        </is>
      </c>
      <c r="F55" s="5" t="n">
        <v>7500</v>
      </c>
      <c r="G55" s="5" t="n">
        <v>5316</v>
      </c>
      <c r="H55" s="5" t="n">
        <v>2100</v>
      </c>
      <c r="I55" s="5" t="n">
        <v>42</v>
      </c>
      <c r="J55" s="5" t="n">
        <v>7</v>
      </c>
      <c r="K55" s="6" t="n">
        <v>0.166666666666666</v>
      </c>
      <c r="L55" s="6" t="n">
        <v>0.833333333333333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  <c r="BT55" s="5" t="n">
        <v>0</v>
      </c>
      <c r="BU55" s="5" t="n">
        <v>0</v>
      </c>
      <c r="BV55" s="5" t="n">
        <v>0</v>
      </c>
      <c r="BW55" s="5" t="n">
        <v>0</v>
      </c>
      <c r="BX55" s="5" t="n">
        <v>0</v>
      </c>
      <c r="BY55" s="5" t="n">
        <v>0</v>
      </c>
      <c r="BZ55" s="5" t="n">
        <v>34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</v>
      </c>
      <c r="CO55" s="5" t="n">
        <v>0</v>
      </c>
      <c r="CP55" s="5" t="n">
        <v>0</v>
      </c>
      <c r="CQ55" s="5" t="n">
        <v>8</v>
      </c>
      <c r="CR55" s="5" t="n">
        <v>7</v>
      </c>
      <c r="CS55" s="5" t="n">
        <v>0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</row>
    <row r="56" ht="18" customHeight="1">
      <c r="A56" s="58" t="n">
        <v>46307</v>
      </c>
      <c r="B56" s="4" t="inlineStr">
        <is>
          <t>SHC3074A00085</t>
        </is>
      </c>
      <c r="C56" s="4" t="inlineStr">
        <is>
          <t>Chengalpattu-PIU</t>
        </is>
      </c>
      <c r="D56" s="4" t="inlineStr">
        <is>
          <t>Section-1</t>
        </is>
      </c>
      <c r="E56" s="4" t="inlineStr">
        <is>
          <t>28-53</t>
        </is>
      </c>
      <c r="F56" s="5" t="n">
        <v>2700</v>
      </c>
      <c r="G56" s="5" t="n">
        <v>1433</v>
      </c>
      <c r="H56" s="5" t="n">
        <v>0</v>
      </c>
      <c r="I56" s="5" t="n">
        <v>18</v>
      </c>
      <c r="J56" s="5" t="n">
        <v>0</v>
      </c>
      <c r="K56" s="6" t="n">
        <v>0</v>
      </c>
      <c r="L56" s="6" t="n">
        <v>1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</v>
      </c>
      <c r="BX56" s="5" t="n">
        <v>0</v>
      </c>
      <c r="BY56" s="5" t="n">
        <v>0</v>
      </c>
      <c r="BZ56" s="5" t="n">
        <v>18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</v>
      </c>
      <c r="CO56" s="5" t="n">
        <v>0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</row>
    <row r="57" ht="18" customHeight="1">
      <c r="A57" s="58" t="n">
        <v>46307</v>
      </c>
      <c r="B57" s="4" t="inlineStr">
        <is>
          <t>SHC3074A00038</t>
        </is>
      </c>
      <c r="C57" s="4" t="inlineStr">
        <is>
          <t>Chengalpattu-PIU</t>
        </is>
      </c>
      <c r="D57" s="4" t="inlineStr">
        <is>
          <t>Section-1</t>
        </is>
      </c>
      <c r="E57" s="4" t="inlineStr">
        <is>
          <t>28-53</t>
        </is>
      </c>
      <c r="F57" s="5" t="n">
        <v>8100</v>
      </c>
      <c r="G57" s="5" t="n">
        <v>4529</v>
      </c>
      <c r="H57" s="5" t="n">
        <v>0</v>
      </c>
      <c r="I57" s="5" t="n">
        <v>46</v>
      </c>
      <c r="J57" s="5" t="n">
        <v>0</v>
      </c>
      <c r="K57" s="6" t="n">
        <v>0</v>
      </c>
      <c r="L57" s="6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34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12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</row>
    <row r="58" ht="18" customHeight="1">
      <c r="A58" s="58" t="n">
        <v>46307</v>
      </c>
      <c r="B58" s="4" t="inlineStr">
        <is>
          <t>SHC3074A00056</t>
        </is>
      </c>
      <c r="C58" s="4" t="inlineStr">
        <is>
          <t>Chengalpattu-PIU</t>
        </is>
      </c>
      <c r="D58" s="4" t="inlineStr">
        <is>
          <t>Section-2</t>
        </is>
      </c>
      <c r="E58" s="4" t="inlineStr">
        <is>
          <t>54-102</t>
        </is>
      </c>
      <c r="F58" s="5" t="n">
        <v>7800</v>
      </c>
      <c r="G58" s="5" t="n">
        <v>7762</v>
      </c>
      <c r="H58" s="5" t="n">
        <v>0</v>
      </c>
      <c r="I58" s="5" t="n">
        <v>30</v>
      </c>
      <c r="J58" s="5" t="n">
        <v>0</v>
      </c>
      <c r="K58" s="6" t="n">
        <v>0</v>
      </c>
      <c r="L58" s="6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</v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0</v>
      </c>
      <c r="BU58" s="5" t="n">
        <v>0</v>
      </c>
      <c r="BV58" s="5" t="n">
        <v>0</v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10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20</v>
      </c>
      <c r="CR58" s="5" t="n">
        <v>0</v>
      </c>
      <c r="CS58" s="5" t="n">
        <v>0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</row>
    <row r="59" ht="18" customHeight="1">
      <c r="A59" s="58" t="n">
        <v>46307</v>
      </c>
      <c r="B59" s="4" t="inlineStr">
        <is>
          <t>SHC3074A00095</t>
        </is>
      </c>
      <c r="C59" s="4" t="inlineStr">
        <is>
          <t>Chengalpattu-PIU</t>
        </is>
      </c>
      <c r="D59" s="4" t="inlineStr">
        <is>
          <t>Section-1</t>
        </is>
      </c>
      <c r="E59" s="4" t="inlineStr">
        <is>
          <t>28-53</t>
        </is>
      </c>
      <c r="F59" s="5" t="n">
        <v>8100</v>
      </c>
      <c r="G59" s="5" t="n">
        <v>6756</v>
      </c>
      <c r="H59" s="5" t="n">
        <v>1200</v>
      </c>
      <c r="I59" s="5" t="n">
        <v>46</v>
      </c>
      <c r="J59" s="5" t="n">
        <v>4</v>
      </c>
      <c r="K59" s="6" t="n">
        <v>0.0869565217391304</v>
      </c>
      <c r="L59" s="6" t="n">
        <v>0.913043478260869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0</v>
      </c>
      <c r="BV59" s="5" t="n">
        <v>0</v>
      </c>
      <c r="BW59" s="5" t="n">
        <v>0</v>
      </c>
      <c r="BX59" s="5" t="n">
        <v>0</v>
      </c>
      <c r="BY59" s="5" t="n">
        <v>0</v>
      </c>
      <c r="BZ59" s="5" t="n">
        <v>38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</v>
      </c>
      <c r="CO59" s="5" t="n">
        <v>0</v>
      </c>
      <c r="CP59" s="5" t="n">
        <v>0</v>
      </c>
      <c r="CQ59" s="5" t="n">
        <v>8</v>
      </c>
      <c r="CR59" s="5" t="n">
        <v>4</v>
      </c>
      <c r="CS59" s="5" t="n">
        <v>0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</row>
    <row r="60" ht="18" customHeight="1">
      <c r="A60" s="58" t="n">
        <v>46307</v>
      </c>
      <c r="B60" s="4" t="inlineStr">
        <is>
          <t>SHC3074A00065</t>
        </is>
      </c>
      <c r="C60" s="4" t="inlineStr">
        <is>
          <t>Chengalpattu-PIU</t>
        </is>
      </c>
      <c r="D60" s="4" t="inlineStr">
        <is>
          <t>Section-2</t>
        </is>
      </c>
      <c r="E60" s="4" t="inlineStr">
        <is>
          <t>54-102</t>
        </is>
      </c>
      <c r="F60" s="5" t="n">
        <v>2000</v>
      </c>
      <c r="G60" s="5" t="n">
        <v>2063</v>
      </c>
      <c r="H60" s="5" t="n">
        <v>0</v>
      </c>
      <c r="I60" s="5" t="n">
        <v>8</v>
      </c>
      <c r="J60" s="5" t="n">
        <v>0</v>
      </c>
      <c r="K60" s="6" t="n">
        <v>0</v>
      </c>
      <c r="L60" s="6" t="n">
        <v>1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0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</v>
      </c>
      <c r="BN60" s="5" t="n">
        <v>0</v>
      </c>
      <c r="BO60" s="5" t="n">
        <v>0</v>
      </c>
      <c r="BP60" s="5" t="n">
        <v>0</v>
      </c>
      <c r="BQ60" s="5" t="n">
        <v>0</v>
      </c>
      <c r="BR60" s="5" t="n">
        <v>0</v>
      </c>
      <c r="BS60" s="5" t="n">
        <v>0</v>
      </c>
      <c r="BT60" s="5" t="n">
        <v>0</v>
      </c>
      <c r="BU60" s="5" t="n">
        <v>0</v>
      </c>
      <c r="BV60" s="5" t="n">
        <v>0</v>
      </c>
      <c r="BW60" s="5" t="n">
        <v>0</v>
      </c>
      <c r="BX60" s="5" t="n">
        <v>0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</v>
      </c>
      <c r="CO60" s="5" t="n">
        <v>0</v>
      </c>
      <c r="CP60" s="5" t="n">
        <v>8</v>
      </c>
      <c r="CQ60" s="5" t="n">
        <v>0</v>
      </c>
      <c r="CR60" s="5" t="n">
        <v>0</v>
      </c>
      <c r="CS60" s="5" t="n">
        <v>0</v>
      </c>
      <c r="CT60" s="5" t="n">
        <v>0</v>
      </c>
      <c r="CU60" s="5" t="n">
        <v>0</v>
      </c>
      <c r="CV60" s="5" t="n">
        <v>0</v>
      </c>
      <c r="CW60" s="5" t="n">
        <v>0</v>
      </c>
      <c r="CX60" s="5" t="n">
        <v>0</v>
      </c>
    </row>
    <row r="61" ht="18" customHeight="1">
      <c r="A61" s="58" t="n">
        <v>46307</v>
      </c>
      <c r="B61" s="4" t="inlineStr">
        <is>
          <t>SHC3074A00001</t>
        </is>
      </c>
      <c r="C61" s="4" t="inlineStr">
        <is>
          <t>Chengalpattu-PIU</t>
        </is>
      </c>
      <c r="D61" s="4" t="inlineStr">
        <is>
          <t>Section-2</t>
        </is>
      </c>
      <c r="E61" s="4" t="inlineStr">
        <is>
          <t>54-102</t>
        </is>
      </c>
      <c r="F61" s="5" t="n">
        <v>2400</v>
      </c>
      <c r="G61" s="5" t="n">
        <v>1720</v>
      </c>
      <c r="H61" s="5" t="n">
        <v>600</v>
      </c>
      <c r="I61" s="5" t="n">
        <v>8</v>
      </c>
      <c r="J61" s="5" t="n">
        <v>2</v>
      </c>
      <c r="K61" s="6" t="n">
        <v>0.25</v>
      </c>
      <c r="L61" s="6" t="n">
        <v>0.75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  <c r="BT61" s="5" t="n">
        <v>0</v>
      </c>
      <c r="BU61" s="5" t="n">
        <v>0</v>
      </c>
      <c r="BV61" s="5" t="n">
        <v>0</v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0</v>
      </c>
      <c r="CN61" s="5" t="n">
        <v>0</v>
      </c>
      <c r="CO61" s="5" t="n">
        <v>0</v>
      </c>
      <c r="CP61" s="5" t="n">
        <v>0</v>
      </c>
      <c r="CQ61" s="5" t="n">
        <v>8</v>
      </c>
      <c r="CR61" s="5" t="n">
        <v>2</v>
      </c>
      <c r="CS61" s="5" t="n">
        <v>0</v>
      </c>
      <c r="CT61" s="5" t="n">
        <v>0</v>
      </c>
      <c r="CU61" s="5" t="n">
        <v>0</v>
      </c>
      <c r="CV61" s="5" t="n">
        <v>0</v>
      </c>
      <c r="CW61" s="5" t="n">
        <v>0</v>
      </c>
      <c r="CX61" s="5" t="n">
        <v>0</v>
      </c>
    </row>
    <row r="62" ht="18" customHeight="1">
      <c r="A62" s="58" t="n">
        <v>46307</v>
      </c>
      <c r="B62" s="4" t="inlineStr">
        <is>
          <t>SHC3074A00247</t>
        </is>
      </c>
      <c r="C62" s="4" t="inlineStr">
        <is>
          <t>Chengalpattu-PIU</t>
        </is>
      </c>
      <c r="D62" s="4" t="inlineStr">
        <is>
          <t>Section-2</t>
        </is>
      </c>
      <c r="E62" s="4" t="inlineStr">
        <is>
          <t>54-102</t>
        </is>
      </c>
      <c r="F62" s="5" t="n">
        <v>700</v>
      </c>
      <c r="G62" s="5" t="n">
        <v>693</v>
      </c>
      <c r="H62" s="5" t="n">
        <v>0</v>
      </c>
      <c r="I62" s="5" t="n">
        <v>3</v>
      </c>
      <c r="J62" s="5" t="n">
        <v>0</v>
      </c>
      <c r="K62" s="6" t="n">
        <v>0</v>
      </c>
      <c r="L62" s="6" t="n">
        <v>1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5" t="n">
        <v>0</v>
      </c>
      <c r="BI62" s="5" t="n">
        <v>0</v>
      </c>
      <c r="BJ62" s="5" t="n">
        <v>0</v>
      </c>
      <c r="BK62" s="5" t="n">
        <v>0</v>
      </c>
      <c r="BL62" s="5" t="n">
        <v>0</v>
      </c>
      <c r="BM62" s="5" t="n">
        <v>0</v>
      </c>
      <c r="BN62" s="5" t="n">
        <v>0</v>
      </c>
      <c r="BO62" s="5" t="n">
        <v>0</v>
      </c>
      <c r="BP62" s="5" t="n">
        <v>0</v>
      </c>
      <c r="BQ62" s="5" t="n">
        <v>0</v>
      </c>
      <c r="BR62" s="5" t="n">
        <v>0</v>
      </c>
      <c r="BS62" s="5" t="n">
        <v>0</v>
      </c>
      <c r="BT62" s="5" t="n">
        <v>0</v>
      </c>
      <c r="BU62" s="5" t="n">
        <v>0</v>
      </c>
      <c r="BV62" s="5" t="n">
        <v>0</v>
      </c>
      <c r="BW62" s="5" t="n">
        <v>0</v>
      </c>
      <c r="BX62" s="5" t="n">
        <v>0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0</v>
      </c>
      <c r="CG62" s="5" t="n">
        <v>0</v>
      </c>
      <c r="CH62" s="5" t="n">
        <v>1</v>
      </c>
      <c r="CI62" s="5" t="n">
        <v>0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0</v>
      </c>
      <c r="CO62" s="5" t="n">
        <v>0</v>
      </c>
      <c r="CP62" s="5" t="n">
        <v>2</v>
      </c>
      <c r="CQ62" s="5" t="n">
        <v>0</v>
      </c>
      <c r="CR62" s="5" t="n">
        <v>0</v>
      </c>
      <c r="CS62" s="5" t="n">
        <v>0</v>
      </c>
      <c r="CT62" s="5" t="n">
        <v>0</v>
      </c>
      <c r="CU62" s="5" t="n">
        <v>0</v>
      </c>
      <c r="CV62" s="5" t="n">
        <v>0</v>
      </c>
      <c r="CW62" s="5" t="n">
        <v>0</v>
      </c>
      <c r="CX62" s="5" t="n">
        <v>0</v>
      </c>
    </row>
    <row r="63" ht="18" customHeight="1">
      <c r="A63" s="58" t="n">
        <v>46307</v>
      </c>
      <c r="B63" s="4" t="inlineStr">
        <is>
          <t>SHC3074A00006</t>
        </is>
      </c>
      <c r="C63" s="4" t="inlineStr">
        <is>
          <t>Chengalpattu-PIU</t>
        </is>
      </c>
      <c r="D63" s="4" t="inlineStr">
        <is>
          <t>Section-3</t>
        </is>
      </c>
      <c r="E63" s="4" t="inlineStr">
        <is>
          <t>103-120</t>
        </is>
      </c>
      <c r="F63" s="5" t="n">
        <v>2480</v>
      </c>
      <c r="G63" s="5" t="n">
        <v>2482</v>
      </c>
      <c r="H63" s="5" t="n">
        <v>0</v>
      </c>
      <c r="I63" s="5" t="n">
        <v>12</v>
      </c>
      <c r="J63" s="5" t="n">
        <v>0</v>
      </c>
      <c r="K63" s="6" t="n">
        <v>0</v>
      </c>
      <c r="L63" s="6" t="n">
        <v>1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4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8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0</v>
      </c>
      <c r="CR63" s="5" t="n">
        <v>0</v>
      </c>
      <c r="CS63" s="5" t="n">
        <v>0</v>
      </c>
      <c r="CT63" s="5" t="n">
        <v>0</v>
      </c>
      <c r="CU63" s="5" t="n">
        <v>0</v>
      </c>
      <c r="CV63" s="5" t="n">
        <v>0</v>
      </c>
      <c r="CW63" s="5" t="n">
        <v>0</v>
      </c>
      <c r="CX63" s="5" t="n">
        <v>0</v>
      </c>
    </row>
    <row r="64" ht="18" customHeight="1">
      <c r="A64" s="58" t="n">
        <v>46307</v>
      </c>
      <c r="B64" s="4" t="inlineStr">
        <is>
          <t>SHC3074A00087</t>
        </is>
      </c>
      <c r="C64" s="4" t="inlineStr">
        <is>
          <t>Chengalpattu-PIU</t>
        </is>
      </c>
      <c r="D64" s="4" t="inlineStr">
        <is>
          <t>Section-2</t>
        </is>
      </c>
      <c r="E64" s="4" t="inlineStr">
        <is>
          <t>54-102</t>
        </is>
      </c>
      <c r="F64" s="5" t="n">
        <v>6300</v>
      </c>
      <c r="G64" s="5" t="n">
        <v>6924</v>
      </c>
      <c r="H64" s="5" t="n">
        <v>0</v>
      </c>
      <c r="I64" s="5" t="n">
        <v>42</v>
      </c>
      <c r="J64" s="5" t="n">
        <v>0</v>
      </c>
      <c r="K64" s="6" t="n">
        <v>0</v>
      </c>
      <c r="L64" s="6" t="n">
        <v>1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0</v>
      </c>
      <c r="BE64" s="5" t="n">
        <v>0</v>
      </c>
      <c r="BF64" s="5" t="n">
        <v>0</v>
      </c>
      <c r="BG64" s="5" t="n">
        <v>0</v>
      </c>
      <c r="BH64" s="5" t="n">
        <v>0</v>
      </c>
      <c r="BI64" s="5" t="n">
        <v>0</v>
      </c>
      <c r="BJ64" s="5" t="n">
        <v>0</v>
      </c>
      <c r="BK64" s="5" t="n">
        <v>0</v>
      </c>
      <c r="BL64" s="5" t="n">
        <v>0</v>
      </c>
      <c r="BM64" s="5" t="n">
        <v>0</v>
      </c>
      <c r="BN64" s="5" t="n">
        <v>0</v>
      </c>
      <c r="BO64" s="5" t="n">
        <v>0</v>
      </c>
      <c r="BP64" s="5" t="n">
        <v>0</v>
      </c>
      <c r="BQ64" s="5" t="n">
        <v>0</v>
      </c>
      <c r="BR64" s="5" t="n">
        <v>0</v>
      </c>
      <c r="BS64" s="5" t="n">
        <v>0</v>
      </c>
      <c r="BT64" s="5" t="n">
        <v>0</v>
      </c>
      <c r="BU64" s="5" t="n">
        <v>0</v>
      </c>
      <c r="BV64" s="5" t="n">
        <v>0</v>
      </c>
      <c r="BW64" s="5" t="n">
        <v>0</v>
      </c>
      <c r="BX64" s="5" t="n">
        <v>0</v>
      </c>
      <c r="BY64" s="5" t="n">
        <v>0</v>
      </c>
      <c r="BZ64" s="5" t="n">
        <v>42</v>
      </c>
      <c r="CA64" s="5" t="n">
        <v>0</v>
      </c>
      <c r="CB64" s="5" t="n">
        <v>0</v>
      </c>
      <c r="CC64" s="5" t="n">
        <v>0</v>
      </c>
      <c r="CD64" s="5" t="n">
        <v>0</v>
      </c>
      <c r="CE64" s="5" t="n">
        <v>0</v>
      </c>
      <c r="CF64" s="5" t="n">
        <v>0</v>
      </c>
      <c r="CG64" s="5" t="n">
        <v>0</v>
      </c>
      <c r="CH64" s="5" t="n">
        <v>0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0</v>
      </c>
      <c r="CR64" s="5" t="n">
        <v>0</v>
      </c>
      <c r="CS64" s="5" t="n">
        <v>0</v>
      </c>
      <c r="CT64" s="5" t="n">
        <v>0</v>
      </c>
      <c r="CU64" s="5" t="n">
        <v>0</v>
      </c>
      <c r="CV64" s="5" t="n">
        <v>0</v>
      </c>
      <c r="CW64" s="5" t="n">
        <v>0</v>
      </c>
      <c r="CX64" s="5" t="n">
        <v>0</v>
      </c>
    </row>
    <row r="65" ht="18" customHeight="1">
      <c r="A65" s="58" t="n">
        <v>46307</v>
      </c>
      <c r="B65" s="4" t="inlineStr">
        <is>
          <t>SHC3074A00075</t>
        </is>
      </c>
      <c r="C65" s="4" t="inlineStr">
        <is>
          <t>Chengalpattu-PIU</t>
        </is>
      </c>
      <c r="D65" s="4" t="inlineStr">
        <is>
          <t>Section-1</t>
        </is>
      </c>
      <c r="E65" s="4" t="inlineStr">
        <is>
          <t>28-53</t>
        </is>
      </c>
      <c r="F65" s="5" t="n">
        <v>4500</v>
      </c>
      <c r="G65" s="5" t="n">
        <v>3387</v>
      </c>
      <c r="H65" s="5" t="n">
        <v>0</v>
      </c>
      <c r="I65" s="5" t="n">
        <v>30</v>
      </c>
      <c r="J65" s="5" t="n">
        <v>0</v>
      </c>
      <c r="K65" s="6" t="n">
        <v>0</v>
      </c>
      <c r="L65" s="6" t="n">
        <v>1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30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0</v>
      </c>
      <c r="CV65" s="5" t="n">
        <v>0</v>
      </c>
      <c r="CW65" s="5" t="n">
        <v>0</v>
      </c>
      <c r="CX65" s="5" t="n">
        <v>0</v>
      </c>
    </row>
    <row r="66" ht="18" customHeight="1">
      <c r="A66" s="58" t="n">
        <v>46307</v>
      </c>
      <c r="B66" s="4" t="inlineStr">
        <is>
          <t>SHC3074A00079</t>
        </is>
      </c>
      <c r="C66" s="4" t="inlineStr">
        <is>
          <t>Chengalpattu-PIU</t>
        </is>
      </c>
      <c r="D66" s="4" t="inlineStr">
        <is>
          <t>Section-2</t>
        </is>
      </c>
      <c r="E66" s="4" t="inlineStr">
        <is>
          <t>54-102</t>
        </is>
      </c>
      <c r="F66" s="5" t="n">
        <v>5100</v>
      </c>
      <c r="G66" s="5" t="n">
        <v>3536</v>
      </c>
      <c r="H66" s="5" t="n">
        <v>1500</v>
      </c>
      <c r="I66" s="5" t="n">
        <v>34</v>
      </c>
      <c r="J66" s="5" t="n">
        <v>10</v>
      </c>
      <c r="K66" s="6" t="n">
        <v>0.294117647058823</v>
      </c>
      <c r="L66" s="6" t="n">
        <v>0.705882352941176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0</v>
      </c>
      <c r="BK66" s="5" t="n">
        <v>0</v>
      </c>
      <c r="BL66" s="5" t="n">
        <v>0</v>
      </c>
      <c r="BM66" s="5" t="n">
        <v>0</v>
      </c>
      <c r="BN66" s="5" t="n">
        <v>0</v>
      </c>
      <c r="BO66" s="5" t="n">
        <v>0</v>
      </c>
      <c r="BP66" s="5" t="n">
        <v>0</v>
      </c>
      <c r="BQ66" s="5" t="n">
        <v>0</v>
      </c>
      <c r="BR66" s="5" t="n">
        <v>0</v>
      </c>
      <c r="BS66" s="5" t="n">
        <v>0</v>
      </c>
      <c r="BT66" s="5" t="n">
        <v>0</v>
      </c>
      <c r="BU66" s="5" t="n">
        <v>0</v>
      </c>
      <c r="BV66" s="5" t="n">
        <v>0</v>
      </c>
      <c r="BW66" s="5" t="n">
        <v>0</v>
      </c>
      <c r="BX66" s="5" t="n">
        <v>0</v>
      </c>
      <c r="BY66" s="5" t="n">
        <v>10</v>
      </c>
      <c r="BZ66" s="5" t="n">
        <v>34</v>
      </c>
      <c r="CA66" s="5" t="n">
        <v>0</v>
      </c>
      <c r="CB66" s="5" t="n">
        <v>0</v>
      </c>
      <c r="CC66" s="5" t="n">
        <v>0</v>
      </c>
      <c r="CD66" s="5" t="n">
        <v>0</v>
      </c>
      <c r="CE66" s="5" t="n">
        <v>0</v>
      </c>
      <c r="CF66" s="5" t="n">
        <v>0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5" t="n">
        <v>0</v>
      </c>
      <c r="CR66" s="5" t="n">
        <v>0</v>
      </c>
      <c r="CS66" s="5" t="n">
        <v>0</v>
      </c>
      <c r="CT66" s="5" t="n">
        <v>0</v>
      </c>
      <c r="CU66" s="5" t="n">
        <v>0</v>
      </c>
      <c r="CV66" s="5" t="n">
        <v>0</v>
      </c>
      <c r="CW66" s="5" t="n">
        <v>0</v>
      </c>
      <c r="CX66" s="5" t="n">
        <v>0</v>
      </c>
    </row>
    <row r="67" ht="18" customHeight="1">
      <c r="A67" s="58" t="n">
        <v>46307</v>
      </c>
      <c r="B67" s="4" t="inlineStr">
        <is>
          <t>SHC3074A00059</t>
        </is>
      </c>
      <c r="C67" s="4" t="inlineStr">
        <is>
          <t>Chengalpattu-PIU</t>
        </is>
      </c>
      <c r="D67" s="4" t="inlineStr">
        <is>
          <t>Section-3</t>
        </is>
      </c>
      <c r="E67" s="4" t="inlineStr">
        <is>
          <t>103-120</t>
        </is>
      </c>
      <c r="F67" s="5" t="n">
        <v>420</v>
      </c>
      <c r="G67" s="5" t="n">
        <v>419</v>
      </c>
      <c r="H67" s="5" t="n">
        <v>0</v>
      </c>
      <c r="I67" s="5" t="n">
        <v>2</v>
      </c>
      <c r="J67" s="5" t="n">
        <v>0</v>
      </c>
      <c r="K67" s="6" t="n">
        <v>0</v>
      </c>
      <c r="L67" s="6" t="n">
        <v>1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0</v>
      </c>
      <c r="BS67" s="5" t="n">
        <v>0</v>
      </c>
      <c r="BT67" s="5" t="n">
        <v>0</v>
      </c>
      <c r="BU67" s="5" t="n">
        <v>0</v>
      </c>
      <c r="BV67" s="5" t="n">
        <v>0</v>
      </c>
      <c r="BW67" s="5" t="n">
        <v>0</v>
      </c>
      <c r="BX67" s="5" t="n">
        <v>0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1</v>
      </c>
      <c r="CI67" s="5" t="n">
        <v>0</v>
      </c>
      <c r="CJ67" s="5" t="n">
        <v>0</v>
      </c>
      <c r="CK67" s="5" t="n">
        <v>0</v>
      </c>
      <c r="CL67" s="5" t="n">
        <v>1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0</v>
      </c>
      <c r="CR67" s="5" t="n">
        <v>0</v>
      </c>
      <c r="CS67" s="5" t="n">
        <v>0</v>
      </c>
      <c r="CT67" s="5" t="n">
        <v>0</v>
      </c>
      <c r="CU67" s="5" t="n">
        <v>0</v>
      </c>
      <c r="CV67" s="5" t="n">
        <v>0</v>
      </c>
      <c r="CW67" s="5" t="n">
        <v>0</v>
      </c>
      <c r="CX67" s="5" t="n">
        <v>0</v>
      </c>
    </row>
    <row r="68" ht="18" customHeight="1">
      <c r="A68" s="58" t="n">
        <v>46307</v>
      </c>
      <c r="B68" s="4" t="inlineStr">
        <is>
          <t>SHC3074A00055</t>
        </is>
      </c>
      <c r="C68" s="4" t="inlineStr">
        <is>
          <t>Chengalpattu-PIU</t>
        </is>
      </c>
      <c r="D68" s="4" t="inlineStr">
        <is>
          <t>Section-1</t>
        </is>
      </c>
      <c r="E68" s="4" t="inlineStr">
        <is>
          <t>28-53</t>
        </is>
      </c>
      <c r="F68" s="5" t="n">
        <v>7310</v>
      </c>
      <c r="G68" s="5" t="n">
        <v>4903</v>
      </c>
      <c r="H68" s="5" t="n">
        <v>2250</v>
      </c>
      <c r="I68" s="5" t="n">
        <v>34</v>
      </c>
      <c r="J68" s="5" t="n">
        <v>9</v>
      </c>
      <c r="K68" s="6" t="n">
        <v>0.264705882352941</v>
      </c>
      <c r="L68" s="6" t="n">
        <v>0.735294117647058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0</v>
      </c>
      <c r="BE68" s="5" t="n">
        <v>0</v>
      </c>
      <c r="BF68" s="5" t="n">
        <v>0</v>
      </c>
      <c r="BG68" s="5" t="n">
        <v>0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0</v>
      </c>
      <c r="BP68" s="5" t="n">
        <v>0</v>
      </c>
      <c r="BQ68" s="5" t="n">
        <v>0</v>
      </c>
      <c r="BR68" s="5" t="n">
        <v>0</v>
      </c>
      <c r="BS68" s="5" t="n">
        <v>0</v>
      </c>
      <c r="BT68" s="5" t="n">
        <v>0</v>
      </c>
      <c r="BU68" s="5" t="n">
        <v>0</v>
      </c>
      <c r="BV68" s="5" t="n">
        <v>0</v>
      </c>
      <c r="BW68" s="5" t="n">
        <v>0</v>
      </c>
      <c r="BX68" s="5" t="n">
        <v>0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0</v>
      </c>
      <c r="CE68" s="5" t="n">
        <v>0</v>
      </c>
      <c r="CF68" s="5" t="n">
        <v>17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9</v>
      </c>
      <c r="CP68" s="5" t="n">
        <v>17</v>
      </c>
      <c r="CQ68" s="5" t="n">
        <v>0</v>
      </c>
      <c r="CR68" s="5" t="n">
        <v>0</v>
      </c>
      <c r="CS68" s="5" t="n">
        <v>0</v>
      </c>
      <c r="CT68" s="5" t="n">
        <v>0</v>
      </c>
      <c r="CU68" s="5" t="n">
        <v>0</v>
      </c>
      <c r="CV68" s="5" t="n">
        <v>0</v>
      </c>
      <c r="CW68" s="5" t="n">
        <v>0</v>
      </c>
      <c r="CX68" s="5" t="n">
        <v>0</v>
      </c>
    </row>
    <row r="69" ht="18" customHeight="1">
      <c r="A69" s="58" t="n">
        <v>46307</v>
      </c>
      <c r="B69" s="4" t="inlineStr">
        <is>
          <t>SHC3074A00081</t>
        </is>
      </c>
      <c r="C69" s="4" t="inlineStr">
        <is>
          <t>Chengalpattu-PIU</t>
        </is>
      </c>
      <c r="D69" s="4" t="inlineStr">
        <is>
          <t>Section-2</t>
        </is>
      </c>
      <c r="E69" s="4" t="inlineStr">
        <is>
          <t>54-102</t>
        </is>
      </c>
      <c r="F69" s="5" t="n">
        <v>5100</v>
      </c>
      <c r="G69" s="5" t="n">
        <v>4698</v>
      </c>
      <c r="H69" s="5" t="n">
        <v>0</v>
      </c>
      <c r="I69" s="5" t="n">
        <v>34</v>
      </c>
      <c r="J69" s="5" t="n">
        <v>0</v>
      </c>
      <c r="K69" s="6" t="n">
        <v>0</v>
      </c>
      <c r="L69" s="6" t="n">
        <v>1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  <c r="BR69" s="5" t="n">
        <v>0</v>
      </c>
      <c r="BS69" s="5" t="n">
        <v>0</v>
      </c>
      <c r="BT69" s="5" t="n">
        <v>0</v>
      </c>
      <c r="BU69" s="5" t="n">
        <v>0</v>
      </c>
      <c r="BV69" s="5" t="n">
        <v>0</v>
      </c>
      <c r="BW69" s="5" t="n">
        <v>0</v>
      </c>
      <c r="BX69" s="5" t="n">
        <v>0</v>
      </c>
      <c r="BY69" s="5" t="n">
        <v>0</v>
      </c>
      <c r="BZ69" s="5" t="n">
        <v>34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0</v>
      </c>
      <c r="CR69" s="5" t="n">
        <v>0</v>
      </c>
      <c r="CS69" s="5" t="n">
        <v>0</v>
      </c>
      <c r="CT69" s="5" t="n">
        <v>0</v>
      </c>
      <c r="CU69" s="5" t="n">
        <v>0</v>
      </c>
      <c r="CV69" s="5" t="n">
        <v>0</v>
      </c>
      <c r="CW69" s="5" t="n">
        <v>0</v>
      </c>
      <c r="CX69" s="5" t="n">
        <v>0</v>
      </c>
    </row>
    <row r="70" ht="18" customHeight="1">
      <c r="A70" s="58" t="n">
        <v>46307</v>
      </c>
      <c r="B70" s="4" t="inlineStr">
        <is>
          <t>SHC3074A00043</t>
        </is>
      </c>
      <c r="C70" s="4" t="inlineStr">
        <is>
          <t>Chengalpattu-PIU</t>
        </is>
      </c>
      <c r="D70" s="4" t="inlineStr">
        <is>
          <t>Section-2</t>
        </is>
      </c>
      <c r="E70" s="4" t="inlineStr">
        <is>
          <t>54-102</t>
        </is>
      </c>
      <c r="F70" s="5" t="n">
        <v>5100</v>
      </c>
      <c r="G70" s="5" t="n">
        <v>4314</v>
      </c>
      <c r="H70" s="5" t="n">
        <v>750</v>
      </c>
      <c r="I70" s="5" t="n">
        <v>34</v>
      </c>
      <c r="J70" s="5" t="n">
        <v>5</v>
      </c>
      <c r="K70" s="6" t="n">
        <v>0.147058823529411</v>
      </c>
      <c r="L70" s="6" t="n">
        <v>0.852941176470588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0</v>
      </c>
      <c r="BC70" s="5" t="n">
        <v>0</v>
      </c>
      <c r="BD70" s="5" t="n">
        <v>0</v>
      </c>
      <c r="BE70" s="5" t="n">
        <v>0</v>
      </c>
      <c r="BF70" s="5" t="n">
        <v>0</v>
      </c>
      <c r="BG70" s="5" t="n">
        <v>0</v>
      </c>
      <c r="BH70" s="5" t="n">
        <v>0</v>
      </c>
      <c r="BI70" s="5" t="n">
        <v>0</v>
      </c>
      <c r="BJ70" s="5" t="n">
        <v>0</v>
      </c>
      <c r="BK70" s="5" t="n">
        <v>0</v>
      </c>
      <c r="BL70" s="5" t="n">
        <v>0</v>
      </c>
      <c r="BM70" s="5" t="n">
        <v>0</v>
      </c>
      <c r="BN70" s="5" t="n">
        <v>0</v>
      </c>
      <c r="BO70" s="5" t="n">
        <v>0</v>
      </c>
      <c r="BP70" s="5" t="n">
        <v>0</v>
      </c>
      <c r="BQ70" s="5" t="n">
        <v>0</v>
      </c>
      <c r="BR70" s="5" t="n">
        <v>0</v>
      </c>
      <c r="BS70" s="5" t="n">
        <v>0</v>
      </c>
      <c r="BT70" s="5" t="n">
        <v>0</v>
      </c>
      <c r="BU70" s="5" t="n">
        <v>0</v>
      </c>
      <c r="BV70" s="5" t="n">
        <v>0</v>
      </c>
      <c r="BW70" s="5" t="n">
        <v>0</v>
      </c>
      <c r="BX70" s="5" t="n">
        <v>0</v>
      </c>
      <c r="BY70" s="5" t="n">
        <v>5</v>
      </c>
      <c r="BZ70" s="5" t="n">
        <v>34</v>
      </c>
      <c r="CA70" s="5" t="n">
        <v>0</v>
      </c>
      <c r="CB70" s="5" t="n">
        <v>0</v>
      </c>
      <c r="CC70" s="5" t="n">
        <v>0</v>
      </c>
      <c r="CD70" s="5" t="n">
        <v>0</v>
      </c>
      <c r="CE70" s="5" t="n">
        <v>0</v>
      </c>
      <c r="CF70" s="5" t="n">
        <v>0</v>
      </c>
      <c r="CG70" s="5" t="n">
        <v>0</v>
      </c>
      <c r="CH70" s="5" t="n">
        <v>0</v>
      </c>
      <c r="CI70" s="5" t="n">
        <v>0</v>
      </c>
      <c r="CJ70" s="5" t="n">
        <v>0</v>
      </c>
      <c r="CK70" s="5" t="n">
        <v>0</v>
      </c>
      <c r="CL70" s="5" t="n">
        <v>0</v>
      </c>
      <c r="CM70" s="5" t="n">
        <v>0</v>
      </c>
      <c r="CN70" s="5" t="n">
        <v>0</v>
      </c>
      <c r="CO70" s="5" t="n">
        <v>0</v>
      </c>
      <c r="CP70" s="5" t="n">
        <v>0</v>
      </c>
      <c r="CQ70" s="5" t="n">
        <v>0</v>
      </c>
      <c r="CR70" s="5" t="n">
        <v>0</v>
      </c>
      <c r="CS70" s="5" t="n">
        <v>0</v>
      </c>
      <c r="CT70" s="5" t="n">
        <v>0</v>
      </c>
      <c r="CU70" s="5" t="n">
        <v>0</v>
      </c>
      <c r="CV70" s="5" t="n">
        <v>0</v>
      </c>
      <c r="CW70" s="5" t="n">
        <v>0</v>
      </c>
      <c r="CX70" s="5" t="n">
        <v>0</v>
      </c>
    </row>
    <row r="71" ht="18" customHeight="1">
      <c r="A71" s="58" t="n">
        <v>46307</v>
      </c>
      <c r="B71" s="4" t="inlineStr">
        <is>
          <t>SHC3074A00066</t>
        </is>
      </c>
      <c r="C71" s="4" t="inlineStr">
        <is>
          <t>Chengalpattu-PIU</t>
        </is>
      </c>
      <c r="D71" s="4" t="inlineStr">
        <is>
          <t>Section-2</t>
        </is>
      </c>
      <c r="E71" s="4" t="inlineStr">
        <is>
          <t>54-102</t>
        </is>
      </c>
      <c r="F71" s="5" t="n">
        <v>4690</v>
      </c>
      <c r="G71" s="5" t="n">
        <v>3994</v>
      </c>
      <c r="H71" s="5" t="n">
        <v>660</v>
      </c>
      <c r="I71" s="5" t="n">
        <v>28</v>
      </c>
      <c r="J71" s="5" t="n">
        <v>3</v>
      </c>
      <c r="K71" s="6" t="n">
        <v>0.107142857142857</v>
      </c>
      <c r="L71" s="6" t="n">
        <v>0.892857142857142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21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3</v>
      </c>
      <c r="CL71" s="5" t="n">
        <v>7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0</v>
      </c>
      <c r="CV71" s="5" t="n">
        <v>0</v>
      </c>
      <c r="CW71" s="5" t="n">
        <v>0</v>
      </c>
      <c r="CX71" s="5" t="n">
        <v>0</v>
      </c>
    </row>
    <row r="72" ht="18" customHeight="1">
      <c r="A72" s="58" t="n">
        <v>46307</v>
      </c>
      <c r="B72" s="4" t="inlineStr">
        <is>
          <t>SHC3074A00017</t>
        </is>
      </c>
      <c r="C72" s="4" t="inlineStr">
        <is>
          <t>Chengalpattu-PIU</t>
        </is>
      </c>
      <c r="D72" s="4" t="inlineStr">
        <is>
          <t>Section-2</t>
        </is>
      </c>
      <c r="E72" s="4" t="inlineStr">
        <is>
          <t>54-102</t>
        </is>
      </c>
      <c r="F72" s="5" t="n">
        <v>4200</v>
      </c>
      <c r="G72" s="5" t="n">
        <v>6863</v>
      </c>
      <c r="H72" s="5" t="n">
        <v>0</v>
      </c>
      <c r="I72" s="5" t="n">
        <v>20</v>
      </c>
      <c r="J72" s="5" t="n">
        <v>0</v>
      </c>
      <c r="K72" s="6" t="n">
        <v>0</v>
      </c>
      <c r="L72" s="6" t="n">
        <v>1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</v>
      </c>
      <c r="BE72" s="5" t="n">
        <v>0</v>
      </c>
      <c r="BF72" s="5" t="n">
        <v>0</v>
      </c>
      <c r="BG72" s="5" t="n">
        <v>0</v>
      </c>
      <c r="BH72" s="5" t="n">
        <v>0</v>
      </c>
      <c r="BI72" s="5" t="n">
        <v>0</v>
      </c>
      <c r="BJ72" s="5" t="n">
        <v>0</v>
      </c>
      <c r="BK72" s="5" t="n">
        <v>0</v>
      </c>
      <c r="BL72" s="5" t="n">
        <v>0</v>
      </c>
      <c r="BM72" s="5" t="n">
        <v>0</v>
      </c>
      <c r="BN72" s="5" t="n">
        <v>0</v>
      </c>
      <c r="BO72" s="5" t="n">
        <v>0</v>
      </c>
      <c r="BP72" s="5" t="n">
        <v>0</v>
      </c>
      <c r="BQ72" s="5" t="n">
        <v>0</v>
      </c>
      <c r="BR72" s="5" t="n">
        <v>0</v>
      </c>
      <c r="BS72" s="5" t="n">
        <v>0</v>
      </c>
      <c r="BT72" s="5" t="n">
        <v>0</v>
      </c>
      <c r="BU72" s="5" t="n">
        <v>0</v>
      </c>
      <c r="BV72" s="5" t="n">
        <v>0</v>
      </c>
      <c r="BW72" s="5" t="n">
        <v>0</v>
      </c>
      <c r="BX72" s="5" t="n">
        <v>0</v>
      </c>
      <c r="BY72" s="5" t="n">
        <v>0</v>
      </c>
      <c r="BZ72" s="5" t="n">
        <v>12</v>
      </c>
      <c r="CA72" s="5" t="n">
        <v>0</v>
      </c>
      <c r="CB72" s="5" t="n">
        <v>0</v>
      </c>
      <c r="CC72" s="5" t="n">
        <v>0</v>
      </c>
      <c r="CD72" s="5" t="n">
        <v>0</v>
      </c>
      <c r="CE72" s="5" t="n">
        <v>0</v>
      </c>
      <c r="CF72" s="5" t="n">
        <v>0</v>
      </c>
      <c r="CG72" s="5" t="n">
        <v>0</v>
      </c>
      <c r="CH72" s="5" t="n">
        <v>0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0</v>
      </c>
      <c r="CN72" s="5" t="n">
        <v>0</v>
      </c>
      <c r="CO72" s="5" t="n">
        <v>0</v>
      </c>
      <c r="CP72" s="5" t="n">
        <v>0</v>
      </c>
      <c r="CQ72" s="5" t="n">
        <v>8</v>
      </c>
      <c r="CR72" s="5" t="n">
        <v>0</v>
      </c>
      <c r="CS72" s="5" t="n">
        <v>0</v>
      </c>
      <c r="CT72" s="5" t="n">
        <v>0</v>
      </c>
      <c r="CU72" s="5" t="n">
        <v>0</v>
      </c>
      <c r="CV72" s="5" t="n">
        <v>0</v>
      </c>
      <c r="CW72" s="5" t="n">
        <v>0</v>
      </c>
      <c r="CX72" s="5" t="n">
        <v>0</v>
      </c>
    </row>
    <row r="73" ht="18" customHeight="1">
      <c r="A73" s="58" t="n">
        <v>46307</v>
      </c>
      <c r="B73" s="4" t="inlineStr">
        <is>
          <t>SHC3074A00040</t>
        </is>
      </c>
      <c r="C73" s="4" t="inlineStr">
        <is>
          <t>Chengalpattu-PIU</t>
        </is>
      </c>
      <c r="D73" s="4" t="inlineStr">
        <is>
          <t>Section-1</t>
        </is>
      </c>
      <c r="E73" s="4" t="inlineStr">
        <is>
          <t>28-53</t>
        </is>
      </c>
      <c r="F73" s="5" t="n">
        <v>5700</v>
      </c>
      <c r="G73" s="5" t="n">
        <v>2825</v>
      </c>
      <c r="H73" s="5" t="n">
        <v>0</v>
      </c>
      <c r="I73" s="5" t="n">
        <v>38</v>
      </c>
      <c r="J73" s="5" t="n">
        <v>0</v>
      </c>
      <c r="K73" s="6" t="n">
        <v>0</v>
      </c>
      <c r="L73" s="6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</v>
      </c>
      <c r="BT73" s="5" t="n">
        <v>0</v>
      </c>
      <c r="BU73" s="5" t="n">
        <v>0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38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5" t="n">
        <v>0</v>
      </c>
      <c r="CR73" s="5" t="n">
        <v>0</v>
      </c>
      <c r="CS73" s="5" t="n">
        <v>0</v>
      </c>
      <c r="CT73" s="5" t="n">
        <v>0</v>
      </c>
      <c r="CU73" s="5" t="n">
        <v>0</v>
      </c>
      <c r="CV73" s="5" t="n">
        <v>0</v>
      </c>
      <c r="CW73" s="5" t="n">
        <v>0</v>
      </c>
      <c r="CX73" s="5" t="n">
        <v>0</v>
      </c>
    </row>
    <row r="74" ht="18" customHeight="1">
      <c r="A74" s="58" t="n">
        <v>46307</v>
      </c>
      <c r="B74" s="4" t="inlineStr">
        <is>
          <t>SHC3074A00099</t>
        </is>
      </c>
      <c r="C74" s="4" t="inlineStr">
        <is>
          <t>Chengalpattu-PIU</t>
        </is>
      </c>
      <c r="D74" s="4" t="inlineStr">
        <is>
          <t>Section-2</t>
        </is>
      </c>
      <c r="E74" s="4" t="inlineStr">
        <is>
          <t>54-102</t>
        </is>
      </c>
      <c r="F74" s="5" t="n">
        <v>2400</v>
      </c>
      <c r="G74" s="5" t="n">
        <v>2446</v>
      </c>
      <c r="H74" s="5" t="n">
        <v>0</v>
      </c>
      <c r="I74" s="5" t="n">
        <v>8</v>
      </c>
      <c r="J74" s="5" t="n">
        <v>0</v>
      </c>
      <c r="K74" s="6" t="n">
        <v>0</v>
      </c>
      <c r="L74" s="6" t="n">
        <v>1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0</v>
      </c>
      <c r="BP74" s="5" t="n">
        <v>0</v>
      </c>
      <c r="BQ74" s="5" t="n">
        <v>0</v>
      </c>
      <c r="BR74" s="5" t="n">
        <v>0</v>
      </c>
      <c r="BS74" s="5" t="n">
        <v>0</v>
      </c>
      <c r="BT74" s="5" t="n">
        <v>0</v>
      </c>
      <c r="BU74" s="5" t="n">
        <v>0</v>
      </c>
      <c r="BV74" s="5" t="n">
        <v>0</v>
      </c>
      <c r="BW74" s="5" t="n">
        <v>0</v>
      </c>
      <c r="BX74" s="5" t="n">
        <v>0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</v>
      </c>
      <c r="CD74" s="5" t="n">
        <v>0</v>
      </c>
      <c r="CE74" s="5" t="n">
        <v>0</v>
      </c>
      <c r="CF74" s="5" t="n">
        <v>0</v>
      </c>
      <c r="CG74" s="5" t="n">
        <v>0</v>
      </c>
      <c r="CH74" s="5" t="n">
        <v>0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0</v>
      </c>
      <c r="CO74" s="5" t="n">
        <v>0</v>
      </c>
      <c r="CP74" s="5" t="n">
        <v>0</v>
      </c>
      <c r="CQ74" s="5" t="n">
        <v>8</v>
      </c>
      <c r="CR74" s="5" t="n">
        <v>0</v>
      </c>
      <c r="CS74" s="5" t="n">
        <v>0</v>
      </c>
      <c r="CT74" s="5" t="n">
        <v>0</v>
      </c>
      <c r="CU74" s="5" t="n">
        <v>0</v>
      </c>
      <c r="CV74" s="5" t="n">
        <v>0</v>
      </c>
      <c r="CW74" s="5" t="n">
        <v>0</v>
      </c>
      <c r="CX74" s="5" t="n">
        <v>0</v>
      </c>
    </row>
    <row r="75" ht="18" customHeight="1">
      <c r="A75" s="58" t="n">
        <v>46307</v>
      </c>
      <c r="B75" s="4" t="inlineStr">
        <is>
          <t>SHC3074A00021</t>
        </is>
      </c>
      <c r="C75" s="4" t="inlineStr">
        <is>
          <t>Chengalpattu-PIU</t>
        </is>
      </c>
      <c r="D75" s="4" t="inlineStr">
        <is>
          <t>Section-3</t>
        </is>
      </c>
      <c r="E75" s="4" t="inlineStr">
        <is>
          <t>103-120</t>
        </is>
      </c>
      <c r="F75" s="5" t="n">
        <v>3100</v>
      </c>
      <c r="G75" s="5" t="n">
        <v>3117</v>
      </c>
      <c r="H75" s="5" t="n">
        <v>0</v>
      </c>
      <c r="I75" s="5" t="n">
        <v>15</v>
      </c>
      <c r="J75" s="5" t="n">
        <v>0</v>
      </c>
      <c r="K75" s="6" t="n">
        <v>0</v>
      </c>
      <c r="L75" s="6" t="n">
        <v>1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0</v>
      </c>
      <c r="BV75" s="5" t="n">
        <v>0</v>
      </c>
      <c r="BW75" s="5" t="n">
        <v>0</v>
      </c>
      <c r="BX75" s="5" t="n">
        <v>0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5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10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0</v>
      </c>
      <c r="CR75" s="5" t="n">
        <v>0</v>
      </c>
      <c r="CS75" s="5" t="n">
        <v>0</v>
      </c>
      <c r="CT75" s="5" t="n">
        <v>0</v>
      </c>
      <c r="CU75" s="5" t="n">
        <v>0</v>
      </c>
      <c r="CV75" s="5" t="n">
        <v>0</v>
      </c>
      <c r="CW75" s="5" t="n">
        <v>0</v>
      </c>
      <c r="CX75" s="5" t="n">
        <v>0</v>
      </c>
    </row>
    <row r="76" ht="18" customHeight="1">
      <c r="A76" s="58" t="n">
        <v>46307</v>
      </c>
      <c r="B76" s="4" t="inlineStr">
        <is>
          <t>SHC3074A00076</t>
        </is>
      </c>
      <c r="C76" s="4" t="inlineStr">
        <is>
          <t>Chengalpattu-PIU</t>
        </is>
      </c>
      <c r="D76" s="4" t="inlineStr">
        <is>
          <t>Section-1</t>
        </is>
      </c>
      <c r="E76" s="4" t="inlineStr">
        <is>
          <t>28-53</t>
        </is>
      </c>
      <c r="F76" s="5" t="n">
        <v>6450</v>
      </c>
      <c r="G76" s="5" t="n">
        <v>5791</v>
      </c>
      <c r="H76" s="5" t="n">
        <v>500</v>
      </c>
      <c r="I76" s="5" t="n">
        <v>30</v>
      </c>
      <c r="J76" s="5" t="n">
        <v>2</v>
      </c>
      <c r="K76" s="6" t="n">
        <v>0.0666666666666666</v>
      </c>
      <c r="L76" s="6" t="n">
        <v>0.933333333333333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0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n">
        <v>0</v>
      </c>
      <c r="AV76" s="5" t="n">
        <v>0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0</v>
      </c>
      <c r="BE76" s="5" t="n">
        <v>0</v>
      </c>
      <c r="BF76" s="5" t="n">
        <v>0</v>
      </c>
      <c r="BG76" s="5" t="n">
        <v>0</v>
      </c>
      <c r="BH76" s="5" t="n">
        <v>0</v>
      </c>
      <c r="BI76" s="5" t="n">
        <v>0</v>
      </c>
      <c r="BJ76" s="5" t="n">
        <v>0</v>
      </c>
      <c r="BK76" s="5" t="n">
        <v>0</v>
      </c>
      <c r="BL76" s="5" t="n">
        <v>0</v>
      </c>
      <c r="BM76" s="5" t="n">
        <v>0</v>
      </c>
      <c r="BN76" s="5" t="n">
        <v>0</v>
      </c>
      <c r="BO76" s="5" t="n">
        <v>0</v>
      </c>
      <c r="BP76" s="5" t="n">
        <v>0</v>
      </c>
      <c r="BQ76" s="5" t="n">
        <v>0</v>
      </c>
      <c r="BR76" s="5" t="n">
        <v>0</v>
      </c>
      <c r="BS76" s="5" t="n">
        <v>0</v>
      </c>
      <c r="BT76" s="5" t="n">
        <v>0</v>
      </c>
      <c r="BU76" s="5" t="n">
        <v>0</v>
      </c>
      <c r="BV76" s="5" t="n">
        <v>0</v>
      </c>
      <c r="BW76" s="5" t="n">
        <v>0</v>
      </c>
      <c r="BX76" s="5" t="n">
        <v>0</v>
      </c>
      <c r="BY76" s="5" t="n">
        <v>0</v>
      </c>
      <c r="BZ76" s="5" t="n">
        <v>0</v>
      </c>
      <c r="CA76" s="5" t="n">
        <v>0</v>
      </c>
      <c r="CB76" s="5" t="n">
        <v>0</v>
      </c>
      <c r="CC76" s="5" t="n">
        <v>0</v>
      </c>
      <c r="CD76" s="5" t="n">
        <v>0</v>
      </c>
      <c r="CE76" s="5" t="n">
        <v>0</v>
      </c>
      <c r="CF76" s="5" t="n">
        <v>15</v>
      </c>
      <c r="CG76" s="5" t="n">
        <v>0</v>
      </c>
      <c r="CH76" s="5" t="n">
        <v>0</v>
      </c>
      <c r="CI76" s="5" t="n">
        <v>0</v>
      </c>
      <c r="CJ76" s="5" t="n">
        <v>0</v>
      </c>
      <c r="CK76" s="5" t="n">
        <v>0</v>
      </c>
      <c r="CL76" s="5" t="n">
        <v>0</v>
      </c>
      <c r="CM76" s="5" t="n">
        <v>0</v>
      </c>
      <c r="CN76" s="5" t="n">
        <v>0</v>
      </c>
      <c r="CO76" s="5" t="n">
        <v>2</v>
      </c>
      <c r="CP76" s="5" t="n">
        <v>15</v>
      </c>
      <c r="CQ76" s="5" t="n">
        <v>0</v>
      </c>
      <c r="CR76" s="5" t="n">
        <v>0</v>
      </c>
      <c r="CS76" s="5" t="n">
        <v>0</v>
      </c>
      <c r="CT76" s="5" t="n">
        <v>0</v>
      </c>
      <c r="CU76" s="5" t="n">
        <v>0</v>
      </c>
      <c r="CV76" s="5" t="n">
        <v>0</v>
      </c>
      <c r="CW76" s="5" t="n">
        <v>0</v>
      </c>
      <c r="CX76" s="5" t="n">
        <v>0</v>
      </c>
    </row>
    <row r="77" ht="18" customHeight="1">
      <c r="A77" s="58" t="n">
        <v>46307</v>
      </c>
      <c r="B77" s="4" t="inlineStr">
        <is>
          <t>SHC3074A00135</t>
        </is>
      </c>
      <c r="C77" s="4" t="inlineStr">
        <is>
          <t>Chengalpattu-PIU</t>
        </is>
      </c>
      <c r="D77" s="4" t="inlineStr">
        <is>
          <t>Section-2</t>
        </is>
      </c>
      <c r="E77" s="4" t="inlineStr">
        <is>
          <t>54-102</t>
        </is>
      </c>
      <c r="F77" s="5" t="n">
        <v>3960</v>
      </c>
      <c r="G77" s="5" t="n">
        <v>4250</v>
      </c>
      <c r="H77" s="5" t="n">
        <v>0</v>
      </c>
      <c r="I77" s="5" t="n">
        <v>18</v>
      </c>
      <c r="J77" s="5" t="n">
        <v>0</v>
      </c>
      <c r="K77" s="6" t="n">
        <v>0</v>
      </c>
      <c r="L77" s="6" t="n">
        <v>1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0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18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0</v>
      </c>
      <c r="CR77" s="5" t="n">
        <v>0</v>
      </c>
      <c r="CS77" s="5" t="n">
        <v>0</v>
      </c>
      <c r="CT77" s="5" t="n">
        <v>0</v>
      </c>
      <c r="CU77" s="5" t="n">
        <v>0</v>
      </c>
      <c r="CV77" s="5" t="n">
        <v>0</v>
      </c>
      <c r="CW77" s="5" t="n">
        <v>0</v>
      </c>
      <c r="CX77" s="5" t="n">
        <v>0</v>
      </c>
    </row>
    <row r="78" ht="18" customHeight="1">
      <c r="A78" s="58" t="n">
        <v>46307</v>
      </c>
      <c r="B78" s="4" t="inlineStr">
        <is>
          <t>SHC3074A00078</t>
        </is>
      </c>
      <c r="C78" s="4" t="inlineStr">
        <is>
          <t>Chengalpattu-PIU</t>
        </is>
      </c>
      <c r="D78" s="4" t="inlineStr">
        <is>
          <t>Section-3</t>
        </is>
      </c>
      <c r="E78" s="4" t="inlineStr">
        <is>
          <t>103-120</t>
        </is>
      </c>
      <c r="F78" s="5" t="n">
        <v>250</v>
      </c>
      <c r="G78" s="5" t="n">
        <v>240</v>
      </c>
      <c r="H78" s="5" t="n">
        <v>0</v>
      </c>
      <c r="I78" s="5" t="n">
        <v>1</v>
      </c>
      <c r="J78" s="5" t="n">
        <v>0</v>
      </c>
      <c r="K78" s="6" t="n">
        <v>0</v>
      </c>
      <c r="L78" s="6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</v>
      </c>
      <c r="BP78" s="5" t="n">
        <v>0</v>
      </c>
      <c r="BQ78" s="5" t="n">
        <v>0</v>
      </c>
      <c r="BR78" s="5" t="n">
        <v>0</v>
      </c>
      <c r="BS78" s="5" t="n">
        <v>0</v>
      </c>
      <c r="BT78" s="5" t="n">
        <v>0</v>
      </c>
      <c r="BU78" s="5" t="n">
        <v>0</v>
      </c>
      <c r="BV78" s="5" t="n">
        <v>0</v>
      </c>
      <c r="BW78" s="5" t="n">
        <v>0</v>
      </c>
      <c r="BX78" s="5" t="n">
        <v>0</v>
      </c>
      <c r="BY78" s="5" t="n">
        <v>0</v>
      </c>
      <c r="BZ78" s="5" t="n">
        <v>0</v>
      </c>
      <c r="CA78" s="5" t="n">
        <v>0</v>
      </c>
      <c r="CB78" s="5" t="n">
        <v>0</v>
      </c>
      <c r="CC78" s="5" t="n">
        <v>0</v>
      </c>
      <c r="CD78" s="5" t="n">
        <v>0</v>
      </c>
      <c r="CE78" s="5" t="n">
        <v>0</v>
      </c>
      <c r="CF78" s="5" t="n">
        <v>0</v>
      </c>
      <c r="CG78" s="5" t="n">
        <v>0</v>
      </c>
      <c r="CH78" s="5" t="n">
        <v>0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</v>
      </c>
      <c r="CN78" s="5" t="n">
        <v>0</v>
      </c>
      <c r="CO78" s="5" t="n">
        <v>0</v>
      </c>
      <c r="CP78" s="5" t="n">
        <v>1</v>
      </c>
      <c r="CQ78" s="5" t="n">
        <v>0</v>
      </c>
      <c r="CR78" s="5" t="n">
        <v>0</v>
      </c>
      <c r="CS78" s="5" t="n">
        <v>0</v>
      </c>
      <c r="CT78" s="5" t="n">
        <v>0</v>
      </c>
      <c r="CU78" s="5" t="n">
        <v>0</v>
      </c>
      <c r="CV78" s="5" t="n">
        <v>0</v>
      </c>
      <c r="CW78" s="5" t="n">
        <v>0</v>
      </c>
      <c r="CX78" s="5" t="n">
        <v>0</v>
      </c>
    </row>
    <row r="79" ht="18" customHeight="1">
      <c r="A79" s="58" t="n">
        <v>46307</v>
      </c>
      <c r="B79" s="4" t="inlineStr">
        <is>
          <t>SHC3074A00072</t>
        </is>
      </c>
      <c r="C79" s="4" t="inlineStr">
        <is>
          <t>Chengalpattu-PIU</t>
        </is>
      </c>
      <c r="D79" s="4" t="inlineStr">
        <is>
          <t>Section-2</t>
        </is>
      </c>
      <c r="E79" s="4" t="inlineStr">
        <is>
          <t>54-102</t>
        </is>
      </c>
      <c r="F79" s="5" t="n">
        <v>4200</v>
      </c>
      <c r="G79" s="5" t="n">
        <v>2553</v>
      </c>
      <c r="H79" s="5" t="n">
        <v>1500</v>
      </c>
      <c r="I79" s="5" t="n">
        <v>28</v>
      </c>
      <c r="J79" s="5" t="n">
        <v>10</v>
      </c>
      <c r="K79" s="6" t="n">
        <v>0.357142857142857</v>
      </c>
      <c r="L79" s="6" t="n">
        <v>0.642857142857142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10</v>
      </c>
      <c r="BZ79" s="5" t="n">
        <v>28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</row>
    <row r="80" ht="18" customHeight="1">
      <c r="A80" s="58" t="n">
        <v>46307</v>
      </c>
      <c r="B80" s="4" t="inlineStr">
        <is>
          <t>SHC3074A00044</t>
        </is>
      </c>
      <c r="C80" s="4" t="inlineStr">
        <is>
          <t>Chengalpattu-PIU</t>
        </is>
      </c>
      <c r="D80" s="4" t="inlineStr">
        <is>
          <t>Section-1</t>
        </is>
      </c>
      <c r="E80" s="4" t="inlineStr">
        <is>
          <t>28-53</t>
        </is>
      </c>
      <c r="F80" s="5" t="n">
        <v>9400</v>
      </c>
      <c r="G80" s="5" t="n">
        <v>4100</v>
      </c>
      <c r="H80" s="5" t="n">
        <v>0</v>
      </c>
      <c r="I80" s="5" t="n">
        <v>48</v>
      </c>
      <c r="J80" s="5" t="n">
        <v>0</v>
      </c>
      <c r="K80" s="6" t="n">
        <v>0</v>
      </c>
      <c r="L80" s="6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0</v>
      </c>
      <c r="BO80" s="5" t="n">
        <v>0</v>
      </c>
      <c r="BP80" s="5" t="n">
        <v>0</v>
      </c>
      <c r="BQ80" s="5" t="n">
        <v>0</v>
      </c>
      <c r="BR80" s="5" t="n">
        <v>0</v>
      </c>
      <c r="BS80" s="5" t="n">
        <v>0</v>
      </c>
      <c r="BT80" s="5" t="n">
        <v>0</v>
      </c>
      <c r="BU80" s="5" t="n">
        <v>0</v>
      </c>
      <c r="BV80" s="5" t="n">
        <v>0</v>
      </c>
      <c r="BW80" s="5" t="n">
        <v>0</v>
      </c>
      <c r="BX80" s="5" t="n">
        <v>0</v>
      </c>
      <c r="BY80" s="5" t="n">
        <v>0</v>
      </c>
      <c r="BZ80" s="5" t="n">
        <v>30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0</v>
      </c>
      <c r="CG80" s="5" t="n">
        <v>0</v>
      </c>
      <c r="CH80" s="5" t="n">
        <v>0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</v>
      </c>
      <c r="CN80" s="5" t="n">
        <v>0</v>
      </c>
      <c r="CO80" s="5" t="n">
        <v>0</v>
      </c>
      <c r="CP80" s="5" t="n">
        <v>10</v>
      </c>
      <c r="CQ80" s="5" t="n">
        <v>8</v>
      </c>
      <c r="CR80" s="5" t="n">
        <v>0</v>
      </c>
      <c r="CS80" s="5" t="n">
        <v>0</v>
      </c>
      <c r="CT80" s="5" t="n">
        <v>0</v>
      </c>
      <c r="CU80" s="5" t="n">
        <v>0</v>
      </c>
      <c r="CV80" s="5" t="n">
        <v>0</v>
      </c>
      <c r="CW80" s="5" t="n">
        <v>0</v>
      </c>
      <c r="CX80" s="5" t="n">
        <v>0</v>
      </c>
    </row>
    <row r="81" ht="18" customHeight="1">
      <c r="A81" s="58" t="n">
        <v>46307</v>
      </c>
      <c r="B81" s="4" t="inlineStr">
        <is>
          <t>SHC3074A00018</t>
        </is>
      </c>
      <c r="C81" s="4" t="inlineStr">
        <is>
          <t>Chengalpattu-PIU</t>
        </is>
      </c>
      <c r="D81" s="4" t="inlineStr">
        <is>
          <t>Section-2</t>
        </is>
      </c>
      <c r="E81" s="4" t="inlineStr">
        <is>
          <t>54-102</t>
        </is>
      </c>
      <c r="F81" s="5" t="n">
        <v>4200</v>
      </c>
      <c r="G81" s="5" t="n">
        <v>3762</v>
      </c>
      <c r="H81" s="5" t="n">
        <v>300</v>
      </c>
      <c r="I81" s="5" t="n">
        <v>19</v>
      </c>
      <c r="J81" s="5" t="n">
        <v>1</v>
      </c>
      <c r="K81" s="6" t="n">
        <v>0.0526315789473684</v>
      </c>
      <c r="L81" s="6" t="n">
        <v>0.947368421052631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0</v>
      </c>
      <c r="BY81" s="5" t="n">
        <v>0</v>
      </c>
      <c r="BZ81" s="5" t="n">
        <v>10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0</v>
      </c>
      <c r="CO81" s="5" t="n">
        <v>0</v>
      </c>
      <c r="CP81" s="5" t="n">
        <v>0</v>
      </c>
      <c r="CQ81" s="5" t="n">
        <v>9</v>
      </c>
      <c r="CR81" s="5" t="n">
        <v>1</v>
      </c>
      <c r="CS81" s="5" t="n">
        <v>0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</row>
    <row r="82" ht="18" customHeight="1">
      <c r="A82" s="58" t="n">
        <v>46307</v>
      </c>
      <c r="B82" s="4" t="inlineStr">
        <is>
          <t>SHC3074A00030</t>
        </is>
      </c>
      <c r="C82" s="4" t="inlineStr">
        <is>
          <t>Chengalpattu-PIU</t>
        </is>
      </c>
      <c r="D82" s="4" t="inlineStr">
        <is>
          <t>Section-1</t>
        </is>
      </c>
      <c r="E82" s="4" t="inlineStr">
        <is>
          <t>28-53</t>
        </is>
      </c>
      <c r="F82" s="5" t="n">
        <v>5400</v>
      </c>
      <c r="G82" s="5" t="n">
        <v>3790</v>
      </c>
      <c r="H82" s="5" t="n">
        <v>0</v>
      </c>
      <c r="I82" s="5" t="n">
        <v>28</v>
      </c>
      <c r="J82" s="5" t="n">
        <v>0</v>
      </c>
      <c r="K82" s="6" t="n">
        <v>0</v>
      </c>
      <c r="L82" s="6" t="n">
        <v>1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0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</v>
      </c>
      <c r="BS82" s="5" t="n">
        <v>0</v>
      </c>
      <c r="BT82" s="5" t="n">
        <v>0</v>
      </c>
      <c r="BU82" s="5" t="n">
        <v>0</v>
      </c>
      <c r="BV82" s="5" t="n">
        <v>0</v>
      </c>
      <c r="BW82" s="5" t="n">
        <v>0</v>
      </c>
      <c r="BX82" s="5" t="n">
        <v>0</v>
      </c>
      <c r="BY82" s="5" t="n">
        <v>0</v>
      </c>
      <c r="BZ82" s="5" t="n">
        <v>20</v>
      </c>
      <c r="CA82" s="5" t="n">
        <v>0</v>
      </c>
      <c r="CB82" s="5" t="n">
        <v>0</v>
      </c>
      <c r="CC82" s="5" t="n">
        <v>0</v>
      </c>
      <c r="CD82" s="5" t="n">
        <v>0</v>
      </c>
      <c r="CE82" s="5" t="n">
        <v>0</v>
      </c>
      <c r="CF82" s="5" t="n">
        <v>0</v>
      </c>
      <c r="CG82" s="5" t="n">
        <v>0</v>
      </c>
      <c r="CH82" s="5" t="n">
        <v>0</v>
      </c>
      <c r="CI82" s="5" t="n">
        <v>0</v>
      </c>
      <c r="CJ82" s="5" t="n">
        <v>0</v>
      </c>
      <c r="CK82" s="5" t="n">
        <v>0</v>
      </c>
      <c r="CL82" s="5" t="n">
        <v>0</v>
      </c>
      <c r="CM82" s="5" t="n">
        <v>0</v>
      </c>
      <c r="CN82" s="5" t="n">
        <v>0</v>
      </c>
      <c r="CO82" s="5" t="n">
        <v>0</v>
      </c>
      <c r="CP82" s="5" t="n">
        <v>0</v>
      </c>
      <c r="CQ82" s="5" t="n">
        <v>8</v>
      </c>
      <c r="CR82" s="5" t="n">
        <v>0</v>
      </c>
      <c r="CS82" s="5" t="n">
        <v>0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0</v>
      </c>
    </row>
    <row r="83" ht="18" customHeight="1">
      <c r="A83" s="58" t="n">
        <v>46307</v>
      </c>
      <c r="B83" s="4" t="inlineStr">
        <is>
          <t>SHC3074A00067</t>
        </is>
      </c>
      <c r="C83" s="4" t="inlineStr">
        <is>
          <t>Chengalpattu-PIU</t>
        </is>
      </c>
      <c r="D83" s="4" t="inlineStr">
        <is>
          <t>Section-2</t>
        </is>
      </c>
      <c r="E83" s="4" t="inlineStr">
        <is>
          <t>54-102</t>
        </is>
      </c>
      <c r="F83" s="5" t="n">
        <v>2660</v>
      </c>
      <c r="G83" s="5" t="n">
        <v>1894</v>
      </c>
      <c r="H83" s="5" t="n">
        <v>660</v>
      </c>
      <c r="I83" s="5" t="n">
        <v>14</v>
      </c>
      <c r="J83" s="5" t="n">
        <v>3</v>
      </c>
      <c r="K83" s="6" t="n">
        <v>0.214285714285714</v>
      </c>
      <c r="L83" s="6" t="n">
        <v>0.785714285714285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0</v>
      </c>
      <c r="BV83" s="5" t="n">
        <v>0</v>
      </c>
      <c r="BW83" s="5" t="n">
        <v>0</v>
      </c>
      <c r="BX83" s="5" t="n">
        <v>0</v>
      </c>
      <c r="BY83" s="5" t="n">
        <v>0</v>
      </c>
      <c r="BZ83" s="5" t="n">
        <v>6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3</v>
      </c>
      <c r="CL83" s="5" t="n">
        <v>8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0</v>
      </c>
      <c r="CR83" s="5" t="n">
        <v>0</v>
      </c>
      <c r="CS83" s="5" t="n">
        <v>0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</row>
    <row r="84" ht="18" customHeight="1">
      <c r="A84" s="58" t="n">
        <v>46307</v>
      </c>
      <c r="B84" s="4" t="inlineStr">
        <is>
          <t>SHC3074A00109</t>
        </is>
      </c>
      <c r="C84" s="4" t="inlineStr">
        <is>
          <t>Chengalpattu-PIU</t>
        </is>
      </c>
      <c r="D84" s="4" t="inlineStr">
        <is>
          <t>Section-1</t>
        </is>
      </c>
      <c r="E84" s="4" t="inlineStr">
        <is>
          <t>28-53</t>
        </is>
      </c>
      <c r="F84" s="5" t="n">
        <v>2400</v>
      </c>
      <c r="G84" s="5" t="n">
        <v>2479</v>
      </c>
      <c r="H84" s="5" t="n">
        <v>0</v>
      </c>
      <c r="I84" s="5" t="n">
        <v>8</v>
      </c>
      <c r="J84" s="5" t="n">
        <v>0</v>
      </c>
      <c r="K84" s="6" t="n">
        <v>0</v>
      </c>
      <c r="L84" s="6" t="n">
        <v>1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0</v>
      </c>
      <c r="BP84" s="5" t="n">
        <v>0</v>
      </c>
      <c r="BQ84" s="5" t="n">
        <v>0</v>
      </c>
      <c r="BR84" s="5" t="n">
        <v>0</v>
      </c>
      <c r="BS84" s="5" t="n">
        <v>0</v>
      </c>
      <c r="BT84" s="5" t="n">
        <v>0</v>
      </c>
      <c r="BU84" s="5" t="n">
        <v>0</v>
      </c>
      <c r="BV84" s="5" t="n">
        <v>0</v>
      </c>
      <c r="BW84" s="5" t="n">
        <v>0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8</v>
      </c>
      <c r="CR84" s="5" t="n">
        <v>0</v>
      </c>
      <c r="CS84" s="5" t="n">
        <v>0</v>
      </c>
      <c r="CT84" s="5" t="n">
        <v>0</v>
      </c>
      <c r="CU84" s="5" t="n">
        <v>0</v>
      </c>
      <c r="CV84" s="5" t="n">
        <v>0</v>
      </c>
      <c r="CW84" s="5" t="n">
        <v>0</v>
      </c>
      <c r="CX84" s="5" t="n">
        <v>0</v>
      </c>
    </row>
    <row r="85" ht="18" customHeight="1">
      <c r="A85" s="58" t="n">
        <v>46307</v>
      </c>
      <c r="B85" s="4" t="inlineStr">
        <is>
          <t>SHC3074A00089</t>
        </is>
      </c>
      <c r="C85" s="4" t="inlineStr">
        <is>
          <t>Chengalpattu-PIU</t>
        </is>
      </c>
      <c r="D85" s="4" t="inlineStr">
        <is>
          <t>Section-2</t>
        </is>
      </c>
      <c r="E85" s="4" t="inlineStr">
        <is>
          <t>54-102</t>
        </is>
      </c>
      <c r="F85" s="5" t="n">
        <v>6500</v>
      </c>
      <c r="G85" s="5" t="n">
        <v>6270</v>
      </c>
      <c r="H85" s="5" t="n">
        <v>0</v>
      </c>
      <c r="I85" s="5" t="n">
        <v>26</v>
      </c>
      <c r="J85" s="5" t="n">
        <v>0</v>
      </c>
      <c r="K85" s="6" t="n">
        <v>0</v>
      </c>
      <c r="L85" s="6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26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</row>
    <row r="86" ht="18" customHeight="1">
      <c r="A86" s="58" t="n">
        <v>46307</v>
      </c>
      <c r="B86" s="4" t="inlineStr">
        <is>
          <t>SHC3074A00048</t>
        </is>
      </c>
      <c r="C86" s="4" t="inlineStr">
        <is>
          <t>Chengalpattu-PIU</t>
        </is>
      </c>
      <c r="D86" s="4" t="inlineStr">
        <is>
          <t>Section-2</t>
        </is>
      </c>
      <c r="E86" s="4" t="inlineStr">
        <is>
          <t>54-102</t>
        </is>
      </c>
      <c r="F86" s="5" t="n">
        <v>5700</v>
      </c>
      <c r="G86" s="5" t="n">
        <v>1680</v>
      </c>
      <c r="H86" s="5" t="n">
        <v>3900</v>
      </c>
      <c r="I86" s="5" t="n">
        <v>30</v>
      </c>
      <c r="J86" s="5" t="n">
        <v>18</v>
      </c>
      <c r="K86" s="6" t="n">
        <v>0.6</v>
      </c>
      <c r="L86" s="6" t="n">
        <v>0.4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0</v>
      </c>
      <c r="BC86" s="5" t="n">
        <v>0</v>
      </c>
      <c r="BD86" s="5" t="n">
        <v>0</v>
      </c>
      <c r="BE86" s="5" t="n">
        <v>0</v>
      </c>
      <c r="BF86" s="5" t="n">
        <v>0</v>
      </c>
      <c r="BG86" s="5" t="n">
        <v>0</v>
      </c>
      <c r="BH86" s="5" t="n">
        <v>0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0</v>
      </c>
      <c r="BP86" s="5" t="n">
        <v>0</v>
      </c>
      <c r="BQ86" s="5" t="n">
        <v>0</v>
      </c>
      <c r="BR86" s="5" t="n">
        <v>0</v>
      </c>
      <c r="BS86" s="5" t="n">
        <v>0</v>
      </c>
      <c r="BT86" s="5" t="n">
        <v>0</v>
      </c>
      <c r="BU86" s="5" t="n">
        <v>0</v>
      </c>
      <c r="BV86" s="5" t="n">
        <v>0</v>
      </c>
      <c r="BW86" s="5" t="n">
        <v>0</v>
      </c>
      <c r="BX86" s="5" t="n">
        <v>0</v>
      </c>
      <c r="BY86" s="5" t="n">
        <v>10</v>
      </c>
      <c r="BZ86" s="5" t="n">
        <v>22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0</v>
      </c>
      <c r="CG86" s="5" t="n">
        <v>0</v>
      </c>
      <c r="CH86" s="5" t="n">
        <v>0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8</v>
      </c>
      <c r="CR86" s="5" t="n">
        <v>8</v>
      </c>
      <c r="CS86" s="5" t="n">
        <v>0</v>
      </c>
      <c r="CT86" s="5" t="n">
        <v>0</v>
      </c>
      <c r="CU86" s="5" t="n">
        <v>0</v>
      </c>
      <c r="CV86" s="5" t="n">
        <v>0</v>
      </c>
      <c r="CW86" s="5" t="n">
        <v>0</v>
      </c>
      <c r="CX86" s="5" t="n">
        <v>0</v>
      </c>
    </row>
    <row r="87" ht="18" customHeight="1">
      <c r="A87" s="58" t="n">
        <v>46307</v>
      </c>
      <c r="B87" s="4" t="inlineStr">
        <is>
          <t>SHC3074A00091</t>
        </is>
      </c>
      <c r="C87" s="4" t="inlineStr">
        <is>
          <t>Chengalpattu-PIU</t>
        </is>
      </c>
      <c r="D87" s="4" t="inlineStr">
        <is>
          <t>Section-2</t>
        </is>
      </c>
      <c r="E87" s="4" t="inlineStr">
        <is>
          <t>54-102</t>
        </is>
      </c>
      <c r="F87" s="5" t="n">
        <v>5100</v>
      </c>
      <c r="G87" s="5" t="n">
        <v>1106</v>
      </c>
      <c r="H87" s="5" t="n">
        <v>3900</v>
      </c>
      <c r="I87" s="5" t="n">
        <v>34</v>
      </c>
      <c r="J87" s="5" t="n">
        <v>26</v>
      </c>
      <c r="K87" s="6" t="n">
        <v>0.764705882352941</v>
      </c>
      <c r="L87" s="6" t="n">
        <v>0.235294117647058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0</v>
      </c>
      <c r="BV87" s="5" t="n">
        <v>0</v>
      </c>
      <c r="BW87" s="5" t="n">
        <v>0</v>
      </c>
      <c r="BX87" s="5" t="n">
        <v>0</v>
      </c>
      <c r="BY87" s="5" t="n">
        <v>26</v>
      </c>
      <c r="BZ87" s="5" t="n">
        <v>34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0</v>
      </c>
      <c r="CO87" s="5" t="n">
        <v>0</v>
      </c>
      <c r="CP87" s="5" t="n">
        <v>0</v>
      </c>
      <c r="CQ87" s="5" t="n">
        <v>0</v>
      </c>
      <c r="CR87" s="5" t="n">
        <v>0</v>
      </c>
      <c r="CS87" s="5" t="n">
        <v>0</v>
      </c>
      <c r="CT87" s="5" t="n">
        <v>0</v>
      </c>
      <c r="CU87" s="5" t="n">
        <v>0</v>
      </c>
      <c r="CV87" s="5" t="n">
        <v>0</v>
      </c>
      <c r="CW87" s="5" t="n">
        <v>0</v>
      </c>
      <c r="CX87" s="5" t="n">
        <v>0</v>
      </c>
    </row>
    <row r="88" ht="18" customHeight="1">
      <c r="A88" s="58" t="n">
        <v>46307</v>
      </c>
      <c r="B88" s="4" t="inlineStr">
        <is>
          <t>SHC3074A00026</t>
        </is>
      </c>
      <c r="C88" s="4" t="inlineStr">
        <is>
          <t>Chengalpattu-PIU</t>
        </is>
      </c>
      <c r="D88" s="4" t="inlineStr">
        <is>
          <t>Section-1</t>
        </is>
      </c>
      <c r="E88" s="4" t="inlineStr">
        <is>
          <t>28-53</t>
        </is>
      </c>
      <c r="F88" s="5" t="n">
        <v>17100</v>
      </c>
      <c r="G88" s="5" t="n">
        <v>8464</v>
      </c>
      <c r="H88" s="5" t="n">
        <v>8500</v>
      </c>
      <c r="I88" s="5" t="n">
        <v>90</v>
      </c>
      <c r="J88" s="5" t="n">
        <v>34</v>
      </c>
      <c r="K88" s="6" t="n">
        <v>0.377777777777777</v>
      </c>
      <c r="L88" s="6" t="n">
        <v>0.622222222222222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0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0</v>
      </c>
      <c r="BP88" s="5" t="n">
        <v>0</v>
      </c>
      <c r="BQ88" s="5" t="n">
        <v>0</v>
      </c>
      <c r="BR88" s="5" t="n">
        <v>0</v>
      </c>
      <c r="BS88" s="5" t="n">
        <v>0</v>
      </c>
      <c r="BT88" s="5" t="n">
        <v>0</v>
      </c>
      <c r="BU88" s="5" t="n">
        <v>0</v>
      </c>
      <c r="BV88" s="5" t="n">
        <v>0</v>
      </c>
      <c r="BW88" s="5" t="n">
        <v>0</v>
      </c>
      <c r="BX88" s="5" t="n">
        <v>0</v>
      </c>
      <c r="BY88" s="5" t="n">
        <v>0</v>
      </c>
      <c r="BZ88" s="5" t="n">
        <v>54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</v>
      </c>
      <c r="CG88" s="5" t="n">
        <v>0</v>
      </c>
      <c r="CH88" s="5" t="n">
        <v>0</v>
      </c>
      <c r="CI88" s="5" t="n">
        <v>0</v>
      </c>
      <c r="CJ88" s="5" t="n">
        <v>0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34</v>
      </c>
      <c r="CP88" s="5" t="n">
        <v>36</v>
      </c>
      <c r="CQ88" s="5" t="n">
        <v>0</v>
      </c>
      <c r="CR88" s="5" t="n">
        <v>0</v>
      </c>
      <c r="CS88" s="5" t="n">
        <v>0</v>
      </c>
      <c r="CT88" s="5" t="n">
        <v>0</v>
      </c>
      <c r="CU88" s="5" t="n">
        <v>0</v>
      </c>
      <c r="CV88" s="5" t="n">
        <v>0</v>
      </c>
      <c r="CW88" s="5" t="n">
        <v>0</v>
      </c>
      <c r="CX88" s="5" t="n">
        <v>0</v>
      </c>
    </row>
    <row r="89" ht="18" customHeight="1">
      <c r="A89" s="58" t="n">
        <v>46307</v>
      </c>
      <c r="B89" s="4" t="inlineStr">
        <is>
          <t>SHC3074A00010</t>
        </is>
      </c>
      <c r="C89" s="4" t="inlineStr">
        <is>
          <t>Chengalpattu-PIU</t>
        </is>
      </c>
      <c r="D89" s="4" t="inlineStr">
        <is>
          <t>Section-2</t>
        </is>
      </c>
      <c r="E89" s="4" t="inlineStr">
        <is>
          <t>54-102</t>
        </is>
      </c>
      <c r="F89" s="5" t="n">
        <v>2400</v>
      </c>
      <c r="G89" s="5" t="n">
        <v>1561</v>
      </c>
      <c r="H89" s="5" t="n">
        <v>600</v>
      </c>
      <c r="I89" s="5" t="n">
        <v>8</v>
      </c>
      <c r="J89" s="5" t="n">
        <v>2</v>
      </c>
      <c r="K89" s="6" t="n">
        <v>0.25</v>
      </c>
      <c r="L89" s="6" t="n">
        <v>0.75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0</v>
      </c>
      <c r="BP89" s="5" t="n">
        <v>0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0</v>
      </c>
      <c r="BW89" s="5" t="n">
        <v>0</v>
      </c>
      <c r="BX89" s="5" t="n">
        <v>0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8</v>
      </c>
      <c r="CR89" s="5" t="n">
        <v>2</v>
      </c>
      <c r="CS89" s="5" t="n">
        <v>0</v>
      </c>
      <c r="CT89" s="5" t="n">
        <v>0</v>
      </c>
      <c r="CU89" s="5" t="n">
        <v>0</v>
      </c>
      <c r="CV89" s="5" t="n">
        <v>0</v>
      </c>
      <c r="CW89" s="5" t="n">
        <v>0</v>
      </c>
      <c r="CX89" s="5" t="n">
        <v>0</v>
      </c>
    </row>
    <row r="90" ht="18" customHeight="1">
      <c r="A90" s="58" t="n">
        <v>46307</v>
      </c>
      <c r="B90" s="4" t="inlineStr">
        <is>
          <t>SHC3074A00144</t>
        </is>
      </c>
      <c r="C90" s="4" t="inlineStr">
        <is>
          <t>Chengalpattu-PIU</t>
        </is>
      </c>
      <c r="D90" s="4" t="inlineStr">
        <is>
          <t>Section-1</t>
        </is>
      </c>
      <c r="E90" s="4" t="inlineStr">
        <is>
          <t>28-53</t>
        </is>
      </c>
      <c r="F90" s="5" t="n">
        <v>10440</v>
      </c>
      <c r="G90" s="5" t="n">
        <v>10426</v>
      </c>
      <c r="H90" s="5" t="n">
        <v>0</v>
      </c>
      <c r="I90" s="5" t="n">
        <v>54</v>
      </c>
      <c r="J90" s="5" t="n">
        <v>0</v>
      </c>
      <c r="K90" s="6" t="n">
        <v>0</v>
      </c>
      <c r="L90" s="6" t="n">
        <v>1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>
        <v>0</v>
      </c>
      <c r="BF90" s="5" t="n">
        <v>0</v>
      </c>
      <c r="BG90" s="5" t="n">
        <v>0</v>
      </c>
      <c r="BH90" s="5" t="n">
        <v>0</v>
      </c>
      <c r="BI90" s="5" t="n">
        <v>0</v>
      </c>
      <c r="BJ90" s="5" t="n">
        <v>0</v>
      </c>
      <c r="BK90" s="5" t="n">
        <v>0</v>
      </c>
      <c r="BL90" s="5" t="n">
        <v>0</v>
      </c>
      <c r="BM90" s="5" t="n">
        <v>0</v>
      </c>
      <c r="BN90" s="5" t="n">
        <v>0</v>
      </c>
      <c r="BO90" s="5" t="n">
        <v>0</v>
      </c>
      <c r="BP90" s="5" t="n">
        <v>0</v>
      </c>
      <c r="BQ90" s="5" t="n">
        <v>0</v>
      </c>
      <c r="BR90" s="5" t="n">
        <v>0</v>
      </c>
      <c r="BS90" s="5" t="n">
        <v>0</v>
      </c>
      <c r="BT90" s="5" t="n">
        <v>0</v>
      </c>
      <c r="BU90" s="5" t="n">
        <v>0</v>
      </c>
      <c r="BV90" s="5" t="n">
        <v>0</v>
      </c>
      <c r="BW90" s="5" t="n">
        <v>0</v>
      </c>
      <c r="BX90" s="5" t="n">
        <v>0</v>
      </c>
      <c r="BY90" s="5" t="n">
        <v>0</v>
      </c>
      <c r="BZ90" s="5" t="n">
        <v>0</v>
      </c>
      <c r="CA90" s="5" t="n">
        <v>0</v>
      </c>
      <c r="CB90" s="5" t="n">
        <v>0</v>
      </c>
      <c r="CC90" s="5" t="n">
        <v>0</v>
      </c>
      <c r="CD90" s="5" t="n">
        <v>0</v>
      </c>
      <c r="CE90" s="5" t="n">
        <v>0</v>
      </c>
      <c r="CF90" s="5" t="n">
        <v>18</v>
      </c>
      <c r="CG90" s="5" t="n">
        <v>0</v>
      </c>
      <c r="CH90" s="5" t="n">
        <v>36</v>
      </c>
      <c r="CI90" s="5" t="n">
        <v>0</v>
      </c>
      <c r="CJ90" s="5" t="n">
        <v>0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5" t="n">
        <v>0</v>
      </c>
      <c r="CR90" s="5" t="n">
        <v>0</v>
      </c>
      <c r="CS90" s="5" t="n">
        <v>0</v>
      </c>
      <c r="CT90" s="5" t="n">
        <v>0</v>
      </c>
      <c r="CU90" s="5" t="n">
        <v>0</v>
      </c>
      <c r="CV90" s="5" t="n">
        <v>0</v>
      </c>
      <c r="CW90" s="5" t="n">
        <v>0</v>
      </c>
      <c r="CX90" s="5" t="n">
        <v>0</v>
      </c>
    </row>
    <row r="91" ht="18" customHeight="1">
      <c r="A91" s="58" t="n">
        <v>46307</v>
      </c>
      <c r="B91" s="4" t="inlineStr">
        <is>
          <t>SHC3074A00035</t>
        </is>
      </c>
      <c r="C91" s="4" t="inlineStr">
        <is>
          <t>Chengalpattu-PIU</t>
        </is>
      </c>
      <c r="D91" s="4" t="inlineStr">
        <is>
          <t>Section-1</t>
        </is>
      </c>
      <c r="E91" s="4" t="inlineStr">
        <is>
          <t>28-53</t>
        </is>
      </c>
      <c r="F91" s="5" t="n">
        <v>10500</v>
      </c>
      <c r="G91" s="5" t="n">
        <v>9781</v>
      </c>
      <c r="H91" s="5" t="n">
        <v>600</v>
      </c>
      <c r="I91" s="5" t="n">
        <v>70</v>
      </c>
      <c r="J91" s="5" t="n">
        <v>4</v>
      </c>
      <c r="K91" s="6" t="n">
        <v>0.0571428571428571</v>
      </c>
      <c r="L91" s="6" t="n">
        <v>0.9428571428571419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4</v>
      </c>
      <c r="BZ91" s="5" t="n">
        <v>70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</row>
    <row r="92" ht="18" customHeight="1">
      <c r="A92" s="58" t="n">
        <v>46307</v>
      </c>
      <c r="B92" s="4" t="inlineStr">
        <is>
          <t>SHC3074A00105</t>
        </is>
      </c>
      <c r="C92" s="4" t="inlineStr">
        <is>
          <t>Chengalpattu-PIU</t>
        </is>
      </c>
      <c r="D92" s="4" t="inlineStr">
        <is>
          <t>Section-1</t>
        </is>
      </c>
      <c r="E92" s="4" t="inlineStr">
        <is>
          <t>28-53</t>
        </is>
      </c>
      <c r="F92" s="5" t="n">
        <v>2400</v>
      </c>
      <c r="G92" s="5" t="n">
        <v>2442</v>
      </c>
      <c r="H92" s="5" t="n">
        <v>0</v>
      </c>
      <c r="I92" s="5" t="n">
        <v>8</v>
      </c>
      <c r="J92" s="5" t="n">
        <v>0</v>
      </c>
      <c r="K92" s="6" t="n">
        <v>0</v>
      </c>
      <c r="L92" s="6" t="n">
        <v>1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0</v>
      </c>
      <c r="BE92" s="5" t="n">
        <v>0</v>
      </c>
      <c r="BF92" s="5" t="n">
        <v>0</v>
      </c>
      <c r="BG92" s="5" t="n">
        <v>0</v>
      </c>
      <c r="BH92" s="5" t="n">
        <v>0</v>
      </c>
      <c r="BI92" s="5" t="n">
        <v>0</v>
      </c>
      <c r="BJ92" s="5" t="n">
        <v>0</v>
      </c>
      <c r="BK92" s="5" t="n">
        <v>0</v>
      </c>
      <c r="BL92" s="5" t="n">
        <v>0</v>
      </c>
      <c r="BM92" s="5" t="n">
        <v>0</v>
      </c>
      <c r="BN92" s="5" t="n">
        <v>0</v>
      </c>
      <c r="BO92" s="5" t="n">
        <v>0</v>
      </c>
      <c r="BP92" s="5" t="n">
        <v>0</v>
      </c>
      <c r="BQ92" s="5" t="n">
        <v>0</v>
      </c>
      <c r="BR92" s="5" t="n">
        <v>0</v>
      </c>
      <c r="BS92" s="5" t="n">
        <v>0</v>
      </c>
      <c r="BT92" s="5" t="n">
        <v>0</v>
      </c>
      <c r="BU92" s="5" t="n">
        <v>0</v>
      </c>
      <c r="BV92" s="5" t="n">
        <v>0</v>
      </c>
      <c r="BW92" s="5" t="n">
        <v>0</v>
      </c>
      <c r="BX92" s="5" t="n">
        <v>0</v>
      </c>
      <c r="BY92" s="5" t="n">
        <v>0</v>
      </c>
      <c r="BZ92" s="5" t="n">
        <v>0</v>
      </c>
      <c r="CA92" s="5" t="n">
        <v>0</v>
      </c>
      <c r="CB92" s="5" t="n">
        <v>0</v>
      </c>
      <c r="CC92" s="5" t="n">
        <v>0</v>
      </c>
      <c r="CD92" s="5" t="n">
        <v>0</v>
      </c>
      <c r="CE92" s="5" t="n">
        <v>0</v>
      </c>
      <c r="CF92" s="5" t="n">
        <v>0</v>
      </c>
      <c r="CG92" s="5" t="n">
        <v>0</v>
      </c>
      <c r="CH92" s="5" t="n">
        <v>0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8</v>
      </c>
      <c r="CR92" s="5" t="n">
        <v>0</v>
      </c>
      <c r="CS92" s="5" t="n">
        <v>0</v>
      </c>
      <c r="CT92" s="5" t="n">
        <v>0</v>
      </c>
      <c r="CU92" s="5" t="n">
        <v>0</v>
      </c>
      <c r="CV92" s="5" t="n">
        <v>0</v>
      </c>
      <c r="CW92" s="5" t="n">
        <v>0</v>
      </c>
      <c r="CX92" s="5" t="n">
        <v>0</v>
      </c>
    </row>
    <row r="93" ht="18" customHeight="1">
      <c r="A93" s="58" t="n">
        <v>46307</v>
      </c>
      <c r="B93" s="4" t="inlineStr">
        <is>
          <t>SHC3074A00033</t>
        </is>
      </c>
      <c r="C93" s="4" t="inlineStr">
        <is>
          <t>Chengalpattu-PIU</t>
        </is>
      </c>
      <c r="D93" s="4" t="inlineStr">
        <is>
          <t>Section-1</t>
        </is>
      </c>
      <c r="E93" s="4" t="inlineStr">
        <is>
          <t>28-53</t>
        </is>
      </c>
      <c r="F93" s="5" t="n">
        <v>5700</v>
      </c>
      <c r="G93" s="5" t="n">
        <v>3958</v>
      </c>
      <c r="H93" s="5" t="n">
        <v>1650</v>
      </c>
      <c r="I93" s="5" t="n">
        <v>38</v>
      </c>
      <c r="J93" s="5" t="n">
        <v>11</v>
      </c>
      <c r="K93" s="6" t="n">
        <v>0.289473684210526</v>
      </c>
      <c r="L93" s="6" t="n">
        <v>0.710526315789473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11</v>
      </c>
      <c r="BZ93" s="5" t="n">
        <v>38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</row>
    <row r="94" ht="18" customHeight="1">
      <c r="A94" s="58" t="n">
        <v>46307</v>
      </c>
      <c r="B94" s="4" t="inlineStr">
        <is>
          <t>SHC3074A00069</t>
        </is>
      </c>
      <c r="C94" s="4" t="inlineStr">
        <is>
          <t>Chengalpattu-PIU</t>
        </is>
      </c>
      <c r="D94" s="4" t="inlineStr">
        <is>
          <t>Section-2</t>
        </is>
      </c>
      <c r="E94" s="4" t="inlineStr">
        <is>
          <t>54-102</t>
        </is>
      </c>
      <c r="F94" s="5" t="n">
        <v>5100</v>
      </c>
      <c r="G94" s="5" t="n">
        <v>4461</v>
      </c>
      <c r="H94" s="5" t="n">
        <v>600</v>
      </c>
      <c r="I94" s="5" t="n">
        <v>34</v>
      </c>
      <c r="J94" s="5" t="n">
        <v>4</v>
      </c>
      <c r="K94" s="6" t="n">
        <v>0.117647058823529</v>
      </c>
      <c r="L94" s="6" t="n">
        <v>0.88235294117647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>
        <v>0</v>
      </c>
      <c r="BF94" s="5" t="n">
        <v>0</v>
      </c>
      <c r="BG94" s="5" t="n">
        <v>0</v>
      </c>
      <c r="BH94" s="5" t="n">
        <v>0</v>
      </c>
      <c r="BI94" s="5" t="n">
        <v>0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0</v>
      </c>
      <c r="BO94" s="5" t="n">
        <v>0</v>
      </c>
      <c r="BP94" s="5" t="n">
        <v>0</v>
      </c>
      <c r="BQ94" s="5" t="n">
        <v>0</v>
      </c>
      <c r="BR94" s="5" t="n">
        <v>0</v>
      </c>
      <c r="BS94" s="5" t="n">
        <v>0</v>
      </c>
      <c r="BT94" s="5" t="n">
        <v>0</v>
      </c>
      <c r="BU94" s="5" t="n">
        <v>0</v>
      </c>
      <c r="BV94" s="5" t="n">
        <v>0</v>
      </c>
      <c r="BW94" s="5" t="n">
        <v>0</v>
      </c>
      <c r="BX94" s="5" t="n">
        <v>0</v>
      </c>
      <c r="BY94" s="5" t="n">
        <v>4</v>
      </c>
      <c r="BZ94" s="5" t="n">
        <v>34</v>
      </c>
      <c r="CA94" s="5" t="n">
        <v>0</v>
      </c>
      <c r="CB94" s="5" t="n">
        <v>0</v>
      </c>
      <c r="CC94" s="5" t="n">
        <v>0</v>
      </c>
      <c r="CD94" s="5" t="n">
        <v>0</v>
      </c>
      <c r="CE94" s="5" t="n">
        <v>0</v>
      </c>
      <c r="CF94" s="5" t="n">
        <v>0</v>
      </c>
      <c r="CG94" s="5" t="n">
        <v>0</v>
      </c>
      <c r="CH94" s="5" t="n">
        <v>0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0</v>
      </c>
      <c r="CO94" s="5" t="n">
        <v>0</v>
      </c>
      <c r="CP94" s="5" t="n">
        <v>0</v>
      </c>
      <c r="CQ94" s="5" t="n">
        <v>0</v>
      </c>
      <c r="CR94" s="5" t="n">
        <v>0</v>
      </c>
      <c r="CS94" s="5" t="n">
        <v>0</v>
      </c>
      <c r="CT94" s="5" t="n">
        <v>0</v>
      </c>
      <c r="CU94" s="5" t="n">
        <v>0</v>
      </c>
      <c r="CV94" s="5" t="n">
        <v>0</v>
      </c>
      <c r="CW94" s="5" t="n">
        <v>0</v>
      </c>
      <c r="CX94" s="5" t="n">
        <v>0</v>
      </c>
    </row>
    <row r="95" ht="18" customHeight="1">
      <c r="A95" s="58" t="n">
        <v>46307</v>
      </c>
      <c r="B95" s="4" t="inlineStr">
        <is>
          <t>SHC3074A00128</t>
        </is>
      </c>
      <c r="C95" s="4" t="inlineStr">
        <is>
          <t>Chengalpattu-PIU</t>
        </is>
      </c>
      <c r="D95" s="4" t="inlineStr">
        <is>
          <t>Section-2</t>
        </is>
      </c>
      <c r="E95" s="4" t="inlineStr">
        <is>
          <t>54-102</t>
        </is>
      </c>
      <c r="F95" s="5" t="n">
        <v>5720</v>
      </c>
      <c r="G95" s="5" t="n">
        <v>6152</v>
      </c>
      <c r="H95" s="5" t="n">
        <v>0</v>
      </c>
      <c r="I95" s="5" t="n">
        <v>26</v>
      </c>
      <c r="J95" s="5" t="n">
        <v>0</v>
      </c>
      <c r="K95" s="6" t="n">
        <v>0</v>
      </c>
      <c r="L95" s="6" t="n">
        <v>1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0</v>
      </c>
      <c r="BS95" s="5" t="n">
        <v>0</v>
      </c>
      <c r="BT95" s="5" t="n">
        <v>0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26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0</v>
      </c>
      <c r="CR95" s="5" t="n">
        <v>0</v>
      </c>
      <c r="CS95" s="5" t="n">
        <v>0</v>
      </c>
      <c r="CT95" s="5" t="n">
        <v>0</v>
      </c>
      <c r="CU95" s="5" t="n">
        <v>0</v>
      </c>
      <c r="CV95" s="5" t="n">
        <v>0</v>
      </c>
      <c r="CW95" s="5" t="n">
        <v>0</v>
      </c>
      <c r="CX95" s="5" t="n">
        <v>0</v>
      </c>
    </row>
    <row r="96" ht="18" customHeight="1">
      <c r="A96" s="58" t="n">
        <v>46307</v>
      </c>
      <c r="B96" s="4" t="inlineStr">
        <is>
          <t>SHC3074A00041</t>
        </is>
      </c>
      <c r="C96" s="4" t="inlineStr">
        <is>
          <t>Chengalpattu-PIU</t>
        </is>
      </c>
      <c r="D96" s="4" t="inlineStr">
        <is>
          <t>Section-1</t>
        </is>
      </c>
      <c r="E96" s="4" t="inlineStr">
        <is>
          <t>28-53</t>
        </is>
      </c>
      <c r="F96" s="5" t="n">
        <v>8700</v>
      </c>
      <c r="G96" s="5" t="n">
        <v>10964</v>
      </c>
      <c r="H96" s="5" t="n">
        <v>0</v>
      </c>
      <c r="I96" s="5" t="n">
        <v>58</v>
      </c>
      <c r="J96" s="5" t="n">
        <v>0</v>
      </c>
      <c r="K96" s="6" t="n">
        <v>0</v>
      </c>
      <c r="L96" s="6" t="n">
        <v>1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0</v>
      </c>
      <c r="BQ96" s="5" t="n">
        <v>0</v>
      </c>
      <c r="BR96" s="5" t="n">
        <v>0</v>
      </c>
      <c r="BS96" s="5" t="n">
        <v>0</v>
      </c>
      <c r="BT96" s="5" t="n">
        <v>0</v>
      </c>
      <c r="BU96" s="5" t="n">
        <v>0</v>
      </c>
      <c r="BV96" s="5" t="n">
        <v>0</v>
      </c>
      <c r="BW96" s="5" t="n">
        <v>0</v>
      </c>
      <c r="BX96" s="5" t="n">
        <v>0</v>
      </c>
      <c r="BY96" s="5" t="n">
        <v>0</v>
      </c>
      <c r="BZ96" s="5" t="n">
        <v>58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0</v>
      </c>
      <c r="CF96" s="5" t="n">
        <v>0</v>
      </c>
      <c r="CG96" s="5" t="n">
        <v>0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0</v>
      </c>
      <c r="CR96" s="5" t="n">
        <v>0</v>
      </c>
      <c r="CS96" s="5" t="n">
        <v>0</v>
      </c>
      <c r="CT96" s="5" t="n">
        <v>0</v>
      </c>
      <c r="CU96" s="5" t="n">
        <v>0</v>
      </c>
      <c r="CV96" s="5" t="n">
        <v>0</v>
      </c>
      <c r="CW96" s="5" t="n">
        <v>0</v>
      </c>
      <c r="CX96" s="5" t="n">
        <v>0</v>
      </c>
    </row>
    <row r="97" ht="18" customHeight="1">
      <c r="A97" s="58" t="n">
        <v>46307</v>
      </c>
      <c r="B97" s="4" t="inlineStr">
        <is>
          <t>SHC3074A00093</t>
        </is>
      </c>
      <c r="C97" s="4" t="inlineStr">
        <is>
          <t>Chengalpattu-PIU</t>
        </is>
      </c>
      <c r="D97" s="4" t="inlineStr">
        <is>
          <t>Section-2</t>
        </is>
      </c>
      <c r="E97" s="4" t="inlineStr">
        <is>
          <t>54-102</t>
        </is>
      </c>
      <c r="F97" s="5" t="n">
        <v>2400</v>
      </c>
      <c r="G97" s="5" t="n">
        <v>2458</v>
      </c>
      <c r="H97" s="5" t="n">
        <v>0</v>
      </c>
      <c r="I97" s="5" t="n">
        <v>8</v>
      </c>
      <c r="J97" s="5" t="n">
        <v>0</v>
      </c>
      <c r="K97" s="6" t="n">
        <v>0</v>
      </c>
      <c r="L97" s="6" t="n">
        <v>1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8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</row>
    <row r="98" ht="18" customHeight="1">
      <c r="A98" s="58" t="n">
        <v>46307</v>
      </c>
      <c r="B98" s="4" t="inlineStr">
        <is>
          <t>SHC3074A00002</t>
        </is>
      </c>
      <c r="C98" s="4" t="inlineStr">
        <is>
          <t>Chengalpattu-PIU</t>
        </is>
      </c>
      <c r="D98" s="4" t="inlineStr">
        <is>
          <t>Section-2</t>
        </is>
      </c>
      <c r="E98" s="4" t="inlineStr">
        <is>
          <t>54-102</t>
        </is>
      </c>
      <c r="F98" s="5" t="n">
        <v>2400</v>
      </c>
      <c r="G98" s="5" t="n">
        <v>930</v>
      </c>
      <c r="H98" s="5" t="n">
        <v>0</v>
      </c>
      <c r="I98" s="5" t="n">
        <v>8</v>
      </c>
      <c r="J98" s="5" t="n">
        <v>0</v>
      </c>
      <c r="K98" s="6" t="n">
        <v>0</v>
      </c>
      <c r="L98" s="6" t="n">
        <v>1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0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>
        <v>0</v>
      </c>
      <c r="BF98" s="5" t="n">
        <v>0</v>
      </c>
      <c r="BG98" s="5" t="n">
        <v>0</v>
      </c>
      <c r="BH98" s="5" t="n">
        <v>0</v>
      </c>
      <c r="BI98" s="5" t="n">
        <v>0</v>
      </c>
      <c r="BJ98" s="5" t="n">
        <v>0</v>
      </c>
      <c r="BK98" s="5" t="n">
        <v>0</v>
      </c>
      <c r="BL98" s="5" t="n">
        <v>0</v>
      </c>
      <c r="BM98" s="5" t="n">
        <v>0</v>
      </c>
      <c r="BN98" s="5" t="n">
        <v>0</v>
      </c>
      <c r="BO98" s="5" t="n">
        <v>0</v>
      </c>
      <c r="BP98" s="5" t="n">
        <v>0</v>
      </c>
      <c r="BQ98" s="5" t="n">
        <v>0</v>
      </c>
      <c r="BR98" s="5" t="n">
        <v>0</v>
      </c>
      <c r="BS98" s="5" t="n">
        <v>0</v>
      </c>
      <c r="BT98" s="5" t="n">
        <v>0</v>
      </c>
      <c r="BU98" s="5" t="n">
        <v>0</v>
      </c>
      <c r="BV98" s="5" t="n">
        <v>0</v>
      </c>
      <c r="BW98" s="5" t="n">
        <v>0</v>
      </c>
      <c r="BX98" s="5" t="n">
        <v>0</v>
      </c>
      <c r="BY98" s="5" t="n">
        <v>0</v>
      </c>
      <c r="BZ98" s="5" t="n">
        <v>0</v>
      </c>
      <c r="CA98" s="5" t="n">
        <v>0</v>
      </c>
      <c r="CB98" s="5" t="n">
        <v>0</v>
      </c>
      <c r="CC98" s="5" t="n">
        <v>0</v>
      </c>
      <c r="CD98" s="5" t="n">
        <v>0</v>
      </c>
      <c r="CE98" s="5" t="n">
        <v>0</v>
      </c>
      <c r="CF98" s="5" t="n">
        <v>0</v>
      </c>
      <c r="CG98" s="5" t="n">
        <v>0</v>
      </c>
      <c r="CH98" s="5" t="n">
        <v>0</v>
      </c>
      <c r="CI98" s="5" t="n">
        <v>0</v>
      </c>
      <c r="CJ98" s="5" t="n">
        <v>0</v>
      </c>
      <c r="CK98" s="5" t="n">
        <v>0</v>
      </c>
      <c r="CL98" s="5" t="n">
        <v>0</v>
      </c>
      <c r="CM98" s="5" t="n">
        <v>0</v>
      </c>
      <c r="CN98" s="5" t="n">
        <v>0</v>
      </c>
      <c r="CO98" s="5" t="n">
        <v>0</v>
      </c>
      <c r="CP98" s="5" t="n">
        <v>0</v>
      </c>
      <c r="CQ98" s="5" t="n">
        <v>8</v>
      </c>
      <c r="CR98" s="5" t="n">
        <v>0</v>
      </c>
      <c r="CS98" s="5" t="n">
        <v>0</v>
      </c>
      <c r="CT98" s="5" t="n">
        <v>0</v>
      </c>
      <c r="CU98" s="5" t="n">
        <v>0</v>
      </c>
      <c r="CV98" s="5" t="n">
        <v>0</v>
      </c>
      <c r="CW98" s="5" t="n">
        <v>0</v>
      </c>
      <c r="CX98" s="5" t="n">
        <v>0</v>
      </c>
    </row>
    <row r="99" ht="18" customHeight="1">
      <c r="A99" s="58" t="n">
        <v>46307</v>
      </c>
      <c r="B99" s="4" t="inlineStr">
        <is>
          <t>SHC3074A00138</t>
        </is>
      </c>
      <c r="C99" s="4" t="inlineStr">
        <is>
          <t>Chengalpattu-PIU</t>
        </is>
      </c>
      <c r="D99" s="4" t="inlineStr">
        <is>
          <t>Section-1</t>
        </is>
      </c>
      <c r="E99" s="4" t="inlineStr">
        <is>
          <t>28-53</t>
        </is>
      </c>
      <c r="F99" s="5" t="n">
        <v>8600</v>
      </c>
      <c r="G99" s="5" t="n">
        <v>8688</v>
      </c>
      <c r="H99" s="5" t="n">
        <v>0</v>
      </c>
      <c r="I99" s="5" t="n">
        <v>40</v>
      </c>
      <c r="J99" s="5" t="n">
        <v>0</v>
      </c>
      <c r="K99" s="6" t="n">
        <v>0</v>
      </c>
      <c r="L99" s="6" t="n">
        <v>1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20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20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0</v>
      </c>
      <c r="CV99" s="5" t="n">
        <v>0</v>
      </c>
      <c r="CW99" s="5" t="n">
        <v>0</v>
      </c>
      <c r="CX99" s="5" t="n">
        <v>0</v>
      </c>
    </row>
    <row r="100" ht="18" customHeight="1">
      <c r="A100" s="58" t="n">
        <v>46307</v>
      </c>
      <c r="B100" s="4" t="inlineStr">
        <is>
          <t>SHC3074A00032</t>
        </is>
      </c>
      <c r="C100" s="4" t="inlineStr">
        <is>
          <t>Chengalpattu-PIU</t>
        </is>
      </c>
      <c r="D100" s="4" t="inlineStr">
        <is>
          <t>Section-1</t>
        </is>
      </c>
      <c r="E100" s="4" t="inlineStr">
        <is>
          <t>28-53</t>
        </is>
      </c>
      <c r="F100" s="5" t="n">
        <v>7800</v>
      </c>
      <c r="G100" s="5" t="n">
        <v>7019</v>
      </c>
      <c r="H100" s="5" t="n">
        <v>0</v>
      </c>
      <c r="I100" s="5" t="n">
        <v>52</v>
      </c>
      <c r="J100" s="5" t="n">
        <v>0</v>
      </c>
      <c r="K100" s="6" t="n">
        <v>0</v>
      </c>
      <c r="L100" s="6" t="n">
        <v>1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n">
        <v>0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0</v>
      </c>
      <c r="BD100" s="5" t="n">
        <v>0</v>
      </c>
      <c r="BE100" s="5" t="n">
        <v>0</v>
      </c>
      <c r="BF100" s="5" t="n">
        <v>0</v>
      </c>
      <c r="BG100" s="5" t="n">
        <v>0</v>
      </c>
      <c r="BH100" s="5" t="n">
        <v>0</v>
      </c>
      <c r="BI100" s="5" t="n">
        <v>0</v>
      </c>
      <c r="BJ100" s="5" t="n">
        <v>0</v>
      </c>
      <c r="BK100" s="5" t="n">
        <v>0</v>
      </c>
      <c r="BL100" s="5" t="n">
        <v>0</v>
      </c>
      <c r="BM100" s="5" t="n">
        <v>0</v>
      </c>
      <c r="BN100" s="5" t="n">
        <v>0</v>
      </c>
      <c r="BO100" s="5" t="n">
        <v>0</v>
      </c>
      <c r="BP100" s="5" t="n">
        <v>0</v>
      </c>
      <c r="BQ100" s="5" t="n">
        <v>0</v>
      </c>
      <c r="BR100" s="5" t="n">
        <v>0</v>
      </c>
      <c r="BS100" s="5" t="n">
        <v>0</v>
      </c>
      <c r="BT100" s="5" t="n">
        <v>0</v>
      </c>
      <c r="BU100" s="5" t="n">
        <v>0</v>
      </c>
      <c r="BV100" s="5" t="n">
        <v>0</v>
      </c>
      <c r="BW100" s="5" t="n">
        <v>0</v>
      </c>
      <c r="BX100" s="5" t="n">
        <v>0</v>
      </c>
      <c r="BY100" s="5" t="n">
        <v>0</v>
      </c>
      <c r="BZ100" s="5" t="n">
        <v>52</v>
      </c>
      <c r="CA100" s="5" t="n">
        <v>0</v>
      </c>
      <c r="CB100" s="5" t="n">
        <v>0</v>
      </c>
      <c r="CC100" s="5" t="n">
        <v>0</v>
      </c>
      <c r="CD100" s="5" t="n">
        <v>0</v>
      </c>
      <c r="CE100" s="5" t="n">
        <v>0</v>
      </c>
      <c r="CF100" s="5" t="n">
        <v>0</v>
      </c>
      <c r="CG100" s="5" t="n">
        <v>0</v>
      </c>
      <c r="CH100" s="5" t="n">
        <v>0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0</v>
      </c>
      <c r="CR100" s="5" t="n">
        <v>0</v>
      </c>
      <c r="CS100" s="5" t="n">
        <v>0</v>
      </c>
      <c r="CT100" s="5" t="n">
        <v>0</v>
      </c>
      <c r="CU100" s="5" t="n">
        <v>0</v>
      </c>
      <c r="CV100" s="5" t="n">
        <v>0</v>
      </c>
      <c r="CW100" s="5" t="n">
        <v>0</v>
      </c>
      <c r="CX100" s="5" t="n">
        <v>0</v>
      </c>
    </row>
    <row r="101" ht="18" customHeight="1">
      <c r="A101" s="58" t="n">
        <v>46307</v>
      </c>
      <c r="B101" s="4" t="inlineStr">
        <is>
          <t>SHC3074A00019</t>
        </is>
      </c>
      <c r="C101" s="4" t="inlineStr">
        <is>
          <t>Chengalpattu-PIU</t>
        </is>
      </c>
      <c r="D101" s="4" t="inlineStr">
        <is>
          <t>Section-2</t>
        </is>
      </c>
      <c r="E101" s="4" t="inlineStr">
        <is>
          <t>54-102</t>
        </is>
      </c>
      <c r="F101" s="5" t="n">
        <v>5100</v>
      </c>
      <c r="G101" s="5" t="n">
        <v>3606</v>
      </c>
      <c r="H101" s="5" t="n">
        <v>1350</v>
      </c>
      <c r="I101" s="5" t="n">
        <v>26</v>
      </c>
      <c r="J101" s="5" t="n">
        <v>5</v>
      </c>
      <c r="K101" s="6" t="n">
        <v>0.192307692307692</v>
      </c>
      <c r="L101" s="6" t="n">
        <v>0.807692307692307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1</v>
      </c>
      <c r="BZ101" s="5" t="n">
        <v>18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8</v>
      </c>
      <c r="CR101" s="5" t="n">
        <v>4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</row>
    <row r="102" ht="18" customHeight="1">
      <c r="A102" s="58" t="n">
        <v>46307</v>
      </c>
      <c r="B102" s="4" t="inlineStr">
        <is>
          <t>SHC3074A00113</t>
        </is>
      </c>
      <c r="C102" s="4" t="inlineStr">
        <is>
          <t>Chengalpattu-PIU</t>
        </is>
      </c>
      <c r="D102" s="4" t="inlineStr">
        <is>
          <t>Section-1</t>
        </is>
      </c>
      <c r="E102" s="4" t="inlineStr">
        <is>
          <t>28-53</t>
        </is>
      </c>
      <c r="F102" s="5" t="n">
        <v>2400</v>
      </c>
      <c r="G102" s="5" t="n">
        <v>2453</v>
      </c>
      <c r="H102" s="5" t="n">
        <v>0</v>
      </c>
      <c r="I102" s="5" t="n">
        <v>8</v>
      </c>
      <c r="J102" s="5" t="n">
        <v>0</v>
      </c>
      <c r="K102" s="6" t="n">
        <v>0</v>
      </c>
      <c r="L102" s="6" t="n">
        <v>1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>
        <v>0</v>
      </c>
      <c r="BF102" s="5" t="n">
        <v>0</v>
      </c>
      <c r="BG102" s="5" t="n">
        <v>0</v>
      </c>
      <c r="BH102" s="5" t="n">
        <v>0</v>
      </c>
      <c r="BI102" s="5" t="n">
        <v>0</v>
      </c>
      <c r="BJ102" s="5" t="n">
        <v>0</v>
      </c>
      <c r="BK102" s="5" t="n">
        <v>0</v>
      </c>
      <c r="BL102" s="5" t="n">
        <v>0</v>
      </c>
      <c r="BM102" s="5" t="n">
        <v>0</v>
      </c>
      <c r="BN102" s="5" t="n">
        <v>0</v>
      </c>
      <c r="BO102" s="5" t="n">
        <v>0</v>
      </c>
      <c r="BP102" s="5" t="n">
        <v>0</v>
      </c>
      <c r="BQ102" s="5" t="n">
        <v>0</v>
      </c>
      <c r="BR102" s="5" t="n">
        <v>0</v>
      </c>
      <c r="BS102" s="5" t="n">
        <v>0</v>
      </c>
      <c r="BT102" s="5" t="n">
        <v>0</v>
      </c>
      <c r="BU102" s="5" t="n">
        <v>0</v>
      </c>
      <c r="BV102" s="5" t="n">
        <v>0</v>
      </c>
      <c r="BW102" s="5" t="n">
        <v>0</v>
      </c>
      <c r="BX102" s="5" t="n">
        <v>0</v>
      </c>
      <c r="BY102" s="5" t="n">
        <v>0</v>
      </c>
      <c r="BZ102" s="5" t="n">
        <v>0</v>
      </c>
      <c r="CA102" s="5" t="n">
        <v>0</v>
      </c>
      <c r="CB102" s="5" t="n">
        <v>0</v>
      </c>
      <c r="CC102" s="5" t="n">
        <v>0</v>
      </c>
      <c r="CD102" s="5" t="n">
        <v>0</v>
      </c>
      <c r="CE102" s="5" t="n">
        <v>0</v>
      </c>
      <c r="CF102" s="5" t="n">
        <v>0</v>
      </c>
      <c r="CG102" s="5" t="n">
        <v>0</v>
      </c>
      <c r="CH102" s="5" t="n">
        <v>0</v>
      </c>
      <c r="CI102" s="5" t="n">
        <v>0</v>
      </c>
      <c r="CJ102" s="5" t="n">
        <v>0</v>
      </c>
      <c r="CK102" s="5" t="n">
        <v>0</v>
      </c>
      <c r="CL102" s="5" t="n">
        <v>0</v>
      </c>
      <c r="CM102" s="5" t="n">
        <v>0</v>
      </c>
      <c r="CN102" s="5" t="n">
        <v>0</v>
      </c>
      <c r="CO102" s="5" t="n">
        <v>0</v>
      </c>
      <c r="CP102" s="5" t="n">
        <v>0</v>
      </c>
      <c r="CQ102" s="5" t="n">
        <v>8</v>
      </c>
      <c r="CR102" s="5" t="n">
        <v>0</v>
      </c>
      <c r="CS102" s="5" t="n">
        <v>0</v>
      </c>
      <c r="CT102" s="5" t="n">
        <v>0</v>
      </c>
      <c r="CU102" s="5" t="n">
        <v>0</v>
      </c>
      <c r="CV102" s="5" t="n">
        <v>0</v>
      </c>
      <c r="CW102" s="5" t="n">
        <v>0</v>
      </c>
      <c r="CX102" s="5" t="n">
        <v>0</v>
      </c>
    </row>
    <row r="103" ht="18" customHeight="1">
      <c r="A103" s="58" t="n">
        <v>46307</v>
      </c>
      <c r="B103" s="4" t="inlineStr">
        <is>
          <t>SHC3074A00117</t>
        </is>
      </c>
      <c r="C103" s="4" t="inlineStr">
        <is>
          <t>Chengalpattu-PIU</t>
        </is>
      </c>
      <c r="D103" s="4" t="inlineStr">
        <is>
          <t>Section-1</t>
        </is>
      </c>
      <c r="E103" s="4" t="inlineStr">
        <is>
          <t>28-53</t>
        </is>
      </c>
      <c r="F103" s="5" t="n">
        <v>5000</v>
      </c>
      <c r="G103" s="5" t="n">
        <v>10126</v>
      </c>
      <c r="H103" s="5" t="n">
        <v>0</v>
      </c>
      <c r="I103" s="5" t="n">
        <v>20</v>
      </c>
      <c r="J103" s="5" t="n">
        <v>0</v>
      </c>
      <c r="K103" s="6" t="n">
        <v>0</v>
      </c>
      <c r="L103" s="6" t="n">
        <v>1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20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</row>
    <row r="104" ht="18" customHeight="1">
      <c r="A104" s="58" t="n">
        <v>46307</v>
      </c>
      <c r="B104" s="4" t="inlineStr">
        <is>
          <t>SHC3074A00014</t>
        </is>
      </c>
      <c r="C104" s="4" t="inlineStr">
        <is>
          <t>Chengalpattu-PIU</t>
        </is>
      </c>
      <c r="D104" s="4" t="inlineStr">
        <is>
          <t>Section-2</t>
        </is>
      </c>
      <c r="E104" s="4" t="inlineStr">
        <is>
          <t>54-102</t>
        </is>
      </c>
      <c r="F104" s="5" t="n">
        <v>2700</v>
      </c>
      <c r="G104" s="5" t="n">
        <v>2750</v>
      </c>
      <c r="H104" s="5" t="n">
        <v>0</v>
      </c>
      <c r="I104" s="5" t="n">
        <v>9</v>
      </c>
      <c r="J104" s="5" t="n">
        <v>0</v>
      </c>
      <c r="K104" s="6" t="n">
        <v>0</v>
      </c>
      <c r="L104" s="6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</v>
      </c>
      <c r="BE104" s="5" t="n">
        <v>0</v>
      </c>
      <c r="BF104" s="5" t="n">
        <v>0</v>
      </c>
      <c r="BG104" s="5" t="n">
        <v>0</v>
      </c>
      <c r="BH104" s="5" t="n">
        <v>0</v>
      </c>
      <c r="BI104" s="5" t="n">
        <v>0</v>
      </c>
      <c r="BJ104" s="5" t="n">
        <v>0</v>
      </c>
      <c r="BK104" s="5" t="n">
        <v>0</v>
      </c>
      <c r="BL104" s="5" t="n">
        <v>0</v>
      </c>
      <c r="BM104" s="5" t="n">
        <v>0</v>
      </c>
      <c r="BN104" s="5" t="n">
        <v>0</v>
      </c>
      <c r="BO104" s="5" t="n">
        <v>0</v>
      </c>
      <c r="BP104" s="5" t="n">
        <v>0</v>
      </c>
      <c r="BQ104" s="5" t="n">
        <v>0</v>
      </c>
      <c r="BR104" s="5" t="n">
        <v>0</v>
      </c>
      <c r="BS104" s="5" t="n">
        <v>0</v>
      </c>
      <c r="BT104" s="5" t="n">
        <v>0</v>
      </c>
      <c r="BU104" s="5" t="n">
        <v>0</v>
      </c>
      <c r="BV104" s="5" t="n">
        <v>0</v>
      </c>
      <c r="BW104" s="5" t="n">
        <v>0</v>
      </c>
      <c r="BX104" s="5" t="n">
        <v>0</v>
      </c>
      <c r="BY104" s="5" t="n">
        <v>0</v>
      </c>
      <c r="BZ104" s="5" t="n">
        <v>0</v>
      </c>
      <c r="CA104" s="5" t="n">
        <v>0</v>
      </c>
      <c r="CB104" s="5" t="n">
        <v>0</v>
      </c>
      <c r="CC104" s="5" t="n">
        <v>0</v>
      </c>
      <c r="CD104" s="5" t="n">
        <v>0</v>
      </c>
      <c r="CE104" s="5" t="n">
        <v>0</v>
      </c>
      <c r="CF104" s="5" t="n">
        <v>0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0</v>
      </c>
      <c r="CM104" s="5" t="n">
        <v>0</v>
      </c>
      <c r="CN104" s="5" t="n">
        <v>0</v>
      </c>
      <c r="CO104" s="5" t="n">
        <v>0</v>
      </c>
      <c r="CP104" s="5" t="n">
        <v>0</v>
      </c>
      <c r="CQ104" s="5" t="n">
        <v>9</v>
      </c>
      <c r="CR104" s="5" t="n">
        <v>0</v>
      </c>
      <c r="CS104" s="5" t="n">
        <v>0</v>
      </c>
      <c r="CT104" s="5" t="n">
        <v>0</v>
      </c>
      <c r="CU104" s="5" t="n">
        <v>0</v>
      </c>
      <c r="CV104" s="5" t="n">
        <v>0</v>
      </c>
      <c r="CW104" s="5" t="n">
        <v>0</v>
      </c>
      <c r="CX104" s="5" t="n">
        <v>0</v>
      </c>
    </row>
    <row r="105" ht="18" customHeight="1">
      <c r="A105" s="58" t="n">
        <v>46307</v>
      </c>
      <c r="B105" s="4" t="inlineStr">
        <is>
          <t>SHC3074A00011</t>
        </is>
      </c>
      <c r="C105" s="4" t="inlineStr">
        <is>
          <t>Chengalpattu-PIU</t>
        </is>
      </c>
      <c r="D105" s="4" t="inlineStr">
        <is>
          <t>Section-3</t>
        </is>
      </c>
      <c r="E105" s="4" t="inlineStr">
        <is>
          <t>103-120</t>
        </is>
      </c>
      <c r="F105" s="5" t="n">
        <v>2400</v>
      </c>
      <c r="G105" s="5" t="n">
        <v>1844</v>
      </c>
      <c r="H105" s="5" t="n">
        <v>0</v>
      </c>
      <c r="I105" s="5" t="n">
        <v>8</v>
      </c>
      <c r="J105" s="5" t="n">
        <v>0</v>
      </c>
      <c r="K105" s="6" t="n">
        <v>0</v>
      </c>
      <c r="L105" s="6" t="n">
        <v>1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0</v>
      </c>
      <c r="BT105" s="5" t="n">
        <v>0</v>
      </c>
      <c r="BU105" s="5" t="n">
        <v>0</v>
      </c>
      <c r="BV105" s="5" t="n">
        <v>0</v>
      </c>
      <c r="BW105" s="5" t="n">
        <v>0</v>
      </c>
      <c r="BX105" s="5" t="n">
        <v>0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8</v>
      </c>
      <c r="CR105" s="5" t="n">
        <v>0</v>
      </c>
      <c r="CS105" s="5" t="n">
        <v>0</v>
      </c>
      <c r="CT105" s="5" t="n">
        <v>0</v>
      </c>
      <c r="CU105" s="5" t="n">
        <v>0</v>
      </c>
      <c r="CV105" s="5" t="n">
        <v>0</v>
      </c>
      <c r="CW105" s="5" t="n">
        <v>0</v>
      </c>
      <c r="CX105" s="5" t="n">
        <v>0</v>
      </c>
    </row>
    <row r="106" ht="18" customHeight="1">
      <c r="A106" s="58" t="n">
        <v>46307</v>
      </c>
      <c r="B106" s="4" t="inlineStr">
        <is>
          <t>SHC3074A00092</t>
        </is>
      </c>
      <c r="C106" s="4" t="inlineStr">
        <is>
          <t>Chengalpattu-PIU</t>
        </is>
      </c>
      <c r="D106" s="4" t="inlineStr">
        <is>
          <t>Section-1</t>
        </is>
      </c>
      <c r="E106" s="4" t="inlineStr">
        <is>
          <t>28-53</t>
        </is>
      </c>
      <c r="F106" s="5" t="n">
        <v>3000</v>
      </c>
      <c r="G106" s="5" t="n">
        <v>905</v>
      </c>
      <c r="H106" s="5" t="n">
        <v>0</v>
      </c>
      <c r="I106" s="5" t="n">
        <v>20</v>
      </c>
      <c r="J106" s="5" t="n">
        <v>0</v>
      </c>
      <c r="K106" s="6" t="n">
        <v>0</v>
      </c>
      <c r="L106" s="6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0</v>
      </c>
      <c r="BE106" s="5" t="n">
        <v>0</v>
      </c>
      <c r="BF106" s="5" t="n">
        <v>0</v>
      </c>
      <c r="BG106" s="5" t="n">
        <v>0</v>
      </c>
      <c r="BH106" s="5" t="n">
        <v>0</v>
      </c>
      <c r="BI106" s="5" t="n">
        <v>0</v>
      </c>
      <c r="BJ106" s="5" t="n">
        <v>0</v>
      </c>
      <c r="BK106" s="5" t="n">
        <v>0</v>
      </c>
      <c r="BL106" s="5" t="n">
        <v>0</v>
      </c>
      <c r="BM106" s="5" t="n">
        <v>0</v>
      </c>
      <c r="BN106" s="5" t="n">
        <v>0</v>
      </c>
      <c r="BO106" s="5" t="n">
        <v>0</v>
      </c>
      <c r="BP106" s="5" t="n">
        <v>0</v>
      </c>
      <c r="BQ106" s="5" t="n">
        <v>0</v>
      </c>
      <c r="BR106" s="5" t="n">
        <v>0</v>
      </c>
      <c r="BS106" s="5" t="n">
        <v>0</v>
      </c>
      <c r="BT106" s="5" t="n">
        <v>0</v>
      </c>
      <c r="BU106" s="5" t="n">
        <v>0</v>
      </c>
      <c r="BV106" s="5" t="n">
        <v>0</v>
      </c>
      <c r="BW106" s="5" t="n">
        <v>0</v>
      </c>
      <c r="BX106" s="5" t="n">
        <v>0</v>
      </c>
      <c r="BY106" s="5" t="n">
        <v>0</v>
      </c>
      <c r="BZ106" s="5" t="n">
        <v>20</v>
      </c>
      <c r="CA106" s="5" t="n">
        <v>0</v>
      </c>
      <c r="CB106" s="5" t="n">
        <v>0</v>
      </c>
      <c r="CC106" s="5" t="n">
        <v>0</v>
      </c>
      <c r="CD106" s="5" t="n">
        <v>0</v>
      </c>
      <c r="CE106" s="5" t="n">
        <v>0</v>
      </c>
      <c r="CF106" s="5" t="n">
        <v>0</v>
      </c>
      <c r="CG106" s="5" t="n">
        <v>0</v>
      </c>
      <c r="CH106" s="5" t="n">
        <v>0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</v>
      </c>
      <c r="CQ106" s="5" t="n">
        <v>0</v>
      </c>
      <c r="CR106" s="5" t="n">
        <v>0</v>
      </c>
      <c r="CS106" s="5" t="n">
        <v>0</v>
      </c>
      <c r="CT106" s="5" t="n">
        <v>0</v>
      </c>
      <c r="CU106" s="5" t="n">
        <v>0</v>
      </c>
      <c r="CV106" s="5" t="n">
        <v>0</v>
      </c>
      <c r="CW106" s="5" t="n">
        <v>0</v>
      </c>
      <c r="CX106" s="5" t="n">
        <v>0</v>
      </c>
    </row>
    <row r="107" ht="18" customHeight="1">
      <c r="A107" s="58" t="n">
        <v>46307</v>
      </c>
      <c r="B107" s="4" t="inlineStr">
        <is>
          <t>SHC3074A00061</t>
        </is>
      </c>
      <c r="C107" s="4" t="inlineStr">
        <is>
          <t>Chengalpattu-PIU</t>
        </is>
      </c>
      <c r="D107" s="4" t="inlineStr">
        <is>
          <t>Section-1</t>
        </is>
      </c>
      <c r="E107" s="4" t="inlineStr">
        <is>
          <t>28-53</t>
        </is>
      </c>
      <c r="F107" s="5" t="n">
        <v>10750</v>
      </c>
      <c r="G107" s="5" t="n">
        <v>10320</v>
      </c>
      <c r="H107" s="5" t="n">
        <v>430</v>
      </c>
      <c r="I107" s="5" t="n">
        <v>50</v>
      </c>
      <c r="J107" s="5" t="n">
        <v>2</v>
      </c>
      <c r="K107" s="6" t="n">
        <v>0.04</v>
      </c>
      <c r="L107" s="6" t="n">
        <v>0.96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1</v>
      </c>
      <c r="CF107" s="5" t="n">
        <v>25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1</v>
      </c>
      <c r="CP107" s="5" t="n">
        <v>25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0</v>
      </c>
      <c r="CV107" s="5" t="n">
        <v>0</v>
      </c>
      <c r="CW107" s="5" t="n">
        <v>0</v>
      </c>
      <c r="CX107" s="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Q7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5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20" customWidth="1" min="10" max="10"/>
    <col width="20" customWidth="1" min="11" max="11"/>
    <col width="20" customWidth="1" min="12" max="12"/>
    <col width="42" customWidth="1" min="13" max="13"/>
    <col width="3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B1" s="7" t="inlineStr">
        <is>
          <t>NATIONAL HIGHWAYS AUTHORITY OF INDIA (NHAI) - PIU CHENGALPATTU</t>
        </is>
      </c>
    </row>
    <row r="2" ht="20" customHeight="1">
      <c r="B2" s="8" t="inlineStr">
        <is>
          <t>CCMS STREET LIGHT LAMP FAILURE, BURNING &amp; NON-BURNING % PERFORMANCE DASHBOARD</t>
        </is>
      </c>
    </row>
    <row r="3" ht="16" customHeight="1">
      <c r="B3" s="9" t="inlineStr">
        <is>
          <t>Operational Date: 12-Oct-2026   |   Total CCMS Panels: 106   |   Total Lamps: 2,694   |   Connected Load: 516.41 kW   |   Status: LIVE TELEMETRY</t>
        </is>
      </c>
    </row>
    <row r="5" ht="18" customHeight="1">
      <c r="B5" s="10" t="inlineStr">
        <is>
          <t>TOTAL CCMS MONITORED</t>
        </is>
      </c>
      <c r="C5" s="59" t="n"/>
      <c r="D5" s="10" t="inlineStr">
        <is>
          <t>TOTAL CONNECTED LAMPS</t>
        </is>
      </c>
      <c r="E5" s="59" t="n"/>
      <c r="F5" s="12" t="inlineStr">
        <is>
          <t>BURNING LAMPS (ACTIVE)</t>
        </is>
      </c>
      <c r="G5" s="59" t="n"/>
      <c r="H5" s="13" t="inlineStr">
        <is>
          <t>NON-BURNING (FAILURES)</t>
        </is>
      </c>
      <c r="I5" s="59" t="n"/>
      <c r="J5" s="12" t="inlineStr">
        <is>
          <t>BURNING RATIO %</t>
        </is>
      </c>
      <c r="K5" s="59" t="n"/>
      <c r="L5" s="14" t="inlineStr">
        <is>
          <t>NON-BURNING LOAD LOSS</t>
        </is>
      </c>
      <c r="M5" s="59" t="n"/>
    </row>
    <row r="6" ht="26" customHeight="1">
      <c r="B6" s="15">
        <f>COUNTA(Parameterized_Lamp_Failure_Repo!B2:B107)</f>
        <v/>
      </c>
      <c r="C6" s="59" t="n"/>
      <c r="D6" s="16">
        <f>SUM(Parameterized_Lamp_Failure_Repo!I2:I107)</f>
        <v/>
      </c>
      <c r="E6" s="59" t="n"/>
      <c r="F6" s="17">
        <f>D6-H6</f>
        <v/>
      </c>
      <c r="G6" s="59" t="n"/>
      <c r="H6" s="18">
        <f>SUM(Parameterized_Lamp_Failure_Repo!J2:J107)</f>
        <v/>
      </c>
      <c r="I6" s="59" t="n"/>
      <c r="J6" s="19">
        <f>F6/D6</f>
        <v/>
      </c>
      <c r="K6" s="59" t="n"/>
      <c r="L6" s="60">
        <f>SUM(Parameterized_Lamp_Failure_Repo!H2:H107)/1000</f>
        <v/>
      </c>
      <c r="M6" s="59" t="n"/>
    </row>
    <row r="7" ht="18" customHeight="1">
      <c r="B7" s="21" t="inlineStr">
        <is>
          <t>106 Online Control Panels</t>
        </is>
      </c>
      <c r="C7" s="59" t="n"/>
      <c r="D7" s="21" t="inlineStr">
        <is>
          <t>100% Highway Inventory</t>
        </is>
      </c>
      <c r="E7" s="59" t="n"/>
      <c r="F7" s="22" t="inlineStr">
        <is>
          <t>90.65% Burning Ratio</t>
        </is>
      </c>
      <c r="G7" s="59" t="n"/>
      <c r="H7" s="23" t="inlineStr">
        <is>
          <t>9.35% Outage Ratio</t>
        </is>
      </c>
      <c r="I7" s="59" t="n"/>
      <c r="J7" s="22" t="inlineStr">
        <is>
          <t>Network SLA: &gt;95.0%</t>
        </is>
      </c>
      <c r="K7" s="59" t="n"/>
      <c r="L7" s="24" t="inlineStr">
        <is>
          <t>51.08 kW Unserved Load</t>
        </is>
      </c>
      <c r="M7" s="59" t="n"/>
    </row>
    <row r="9">
      <c r="B9" s="25" t="inlineStr">
        <is>
          <t>SECTION / ZONE OPERATIONAL PERFORMANCE</t>
        </is>
      </c>
    </row>
    <row r="10" ht="22" customHeight="1">
      <c r="B10" s="26" t="inlineStr">
        <is>
          <t>Zone / Section</t>
        </is>
      </c>
      <c r="C10" s="26" t="inlineStr">
        <is>
          <t>Ward Range</t>
        </is>
      </c>
      <c r="D10" s="26" t="inlineStr">
        <is>
          <t>CCMS Panels</t>
        </is>
      </c>
      <c r="E10" s="26" t="inlineStr">
        <is>
          <t>Total Lamps</t>
        </is>
      </c>
      <c r="F10" s="26" t="inlineStr">
        <is>
          <t>Burning Lamps</t>
        </is>
      </c>
      <c r="G10" s="26" t="inlineStr">
        <is>
          <t>Non-Burning</t>
        </is>
      </c>
      <c r="H10" s="26" t="inlineStr">
        <is>
          <t>Burning %</t>
        </is>
      </c>
      <c r="I10" s="26" t="inlineStr">
        <is>
          <t>Non-Burning %</t>
        </is>
      </c>
      <c r="J10" s="26" t="inlineStr">
        <is>
          <t>Connected Load (kW)</t>
        </is>
      </c>
      <c r="K10" s="26" t="inlineStr">
        <is>
          <t>Recorded Load (kW)</t>
        </is>
      </c>
      <c r="L10" s="26" t="inlineStr">
        <is>
          <t>Deficit Load (kW)</t>
        </is>
      </c>
      <c r="M10" s="26" t="inlineStr">
        <is>
          <t>Performance Status</t>
        </is>
      </c>
      <c r="O10" t="inlineStr">
        <is>
          <t>Status</t>
        </is>
      </c>
      <c r="P10" t="inlineStr">
        <is>
          <t>Lamps</t>
        </is>
      </c>
    </row>
    <row r="11" ht="20" customHeight="1">
      <c r="B11" s="27" t="inlineStr">
        <is>
          <t>Section-1</t>
        </is>
      </c>
      <c r="C11" s="28" t="inlineStr">
        <is>
          <t>28-53</t>
        </is>
      </c>
      <c r="D11" s="29">
        <f>COUNTIF(Parameterized_Lamp_Failure_Repo!$D$2:$D$107, "Section-1")</f>
        <v/>
      </c>
      <c r="E11" s="29">
        <f>SUMIF(Parameterized_Lamp_Failure_Repo!$D$2:$D$107, "Section-1", Parameterized_Lamp_Failure_Repo!$I$2:$I$107)</f>
        <v/>
      </c>
      <c r="F11" s="29">
        <f>E11-G11</f>
        <v/>
      </c>
      <c r="G11" s="29">
        <f>SUMIF(Parameterized_Lamp_Failure_Repo!$D$2:$D$107, "Section-1", Parameterized_Lamp_Failure_Repo!$J$2:$J$107)</f>
        <v/>
      </c>
      <c r="H11" s="30">
        <f>F11/E11</f>
        <v/>
      </c>
      <c r="I11" s="30">
        <f>G11/E11</f>
        <v/>
      </c>
      <c r="J11" s="31">
        <f>SUMIF(Parameterized_Lamp_Failure_Repo!$D$2:$D$107, "Section-1", Parameterized_Lamp_Failure_Repo!$F$2:$F$107)/1000</f>
        <v/>
      </c>
      <c r="K11" s="31">
        <f>SUMIF(Parameterized_Lamp_Failure_Repo!$D$2:$D$107, "Section-1", Parameterized_Lamp_Failure_Repo!$G$2:$G$107)/1000</f>
        <v/>
      </c>
      <c r="L11" s="31">
        <f>SUMIF(Parameterized_Lamp_Failure_Repo!$D$2:$D$107, "Section-1", Parameterized_Lamp_Failure_Repo!$H$2:$H$107)/1000</f>
        <v/>
      </c>
      <c r="M11" s="32" t="inlineStr">
        <is>
          <t>OPTIMAL (91.98%)</t>
        </is>
      </c>
      <c r="O11" t="inlineStr">
        <is>
          <t>Burning Lights</t>
        </is>
      </c>
      <c r="P11">
        <f>F14</f>
        <v/>
      </c>
    </row>
    <row r="12" ht="20" customHeight="1">
      <c r="B12" s="33" t="inlineStr">
        <is>
          <t>Section-2</t>
        </is>
      </c>
      <c r="C12" s="34" t="inlineStr">
        <is>
          <t>54-102</t>
        </is>
      </c>
      <c r="D12" s="35">
        <f>COUNTIF(Parameterized_Lamp_Failure_Repo!$D$2:$D$107, "Section-2")</f>
        <v/>
      </c>
      <c r="E12" s="35">
        <f>SUMIF(Parameterized_Lamp_Failure_Repo!$D$2:$D$107, "Section-2", Parameterized_Lamp_Failure_Repo!$I$2:$I$107)</f>
        <v/>
      </c>
      <c r="F12" s="35">
        <f>E12-G12</f>
        <v/>
      </c>
      <c r="G12" s="35">
        <f>SUMIF(Parameterized_Lamp_Failure_Repo!$D$2:$D$107, "Section-2", Parameterized_Lamp_Failure_Repo!$J$2:$J$107)</f>
        <v/>
      </c>
      <c r="H12" s="36">
        <f>F12/E12</f>
        <v/>
      </c>
      <c r="I12" s="36">
        <f>G12/E12</f>
        <v/>
      </c>
      <c r="J12" s="37">
        <f>SUMIF(Parameterized_Lamp_Failure_Repo!$D$2:$D$107, "Section-2", Parameterized_Lamp_Failure_Repo!$F$2:$F$107)/1000</f>
        <v/>
      </c>
      <c r="K12" s="37">
        <f>SUMIF(Parameterized_Lamp_Failure_Repo!$D$2:$D$107, "Section-2", Parameterized_Lamp_Failure_Repo!$G$2:$G$107)/1000</f>
        <v/>
      </c>
      <c r="L12" s="37">
        <f>SUMIF(Parameterized_Lamp_Failure_Repo!$D$2:$D$107, "Section-2", Parameterized_Lamp_Failure_Repo!$H$2:$H$107)/1000</f>
        <v/>
      </c>
      <c r="M12" s="38" t="inlineStr">
        <is>
          <t>ATTENTION (88.07%)</t>
        </is>
      </c>
      <c r="O12" t="inlineStr">
        <is>
          <t>Non-Burning Lights</t>
        </is>
      </c>
      <c r="P12">
        <f>G14</f>
        <v/>
      </c>
    </row>
    <row r="13" ht="20" customHeight="1">
      <c r="B13" s="27" t="inlineStr">
        <is>
          <t>Section-3</t>
        </is>
      </c>
      <c r="C13" s="28" t="inlineStr">
        <is>
          <t>103-120</t>
        </is>
      </c>
      <c r="D13" s="29">
        <f>COUNTIF(Parameterized_Lamp_Failure_Repo!$D$2:$D$107, "Section-3")</f>
        <v/>
      </c>
      <c r="E13" s="29">
        <f>SUMIF(Parameterized_Lamp_Failure_Repo!$D$2:$D$107, "Section-3", Parameterized_Lamp_Failure_Repo!$I$2:$I$107)</f>
        <v/>
      </c>
      <c r="F13" s="29">
        <f>E13-G13</f>
        <v/>
      </c>
      <c r="G13" s="29">
        <f>SUMIF(Parameterized_Lamp_Failure_Repo!$D$2:$D$107, "Section-3", Parameterized_Lamp_Failure_Repo!$J$2:$J$107)</f>
        <v/>
      </c>
      <c r="H13" s="30">
        <f>F13/E13</f>
        <v/>
      </c>
      <c r="I13" s="30">
        <f>G13/E13</f>
        <v/>
      </c>
      <c r="J13" s="31">
        <f>SUMIF(Parameterized_Lamp_Failure_Repo!$D$2:$D$107, "Section-3", Parameterized_Lamp_Failure_Repo!$F$2:$F$107)/1000</f>
        <v/>
      </c>
      <c r="K13" s="31">
        <f>SUMIF(Parameterized_Lamp_Failure_Repo!$D$2:$D$107, "Section-3", Parameterized_Lamp_Failure_Repo!$G$2:$G$107)/1000</f>
        <v/>
      </c>
      <c r="L13" s="31">
        <f>SUMIF(Parameterized_Lamp_Failure_Repo!$D$2:$D$107, "Section-3", Parameterized_Lamp_Failure_Repo!$H$2:$H$107)/1000</f>
        <v/>
      </c>
      <c r="M13" s="32" t="inlineStr">
        <is>
          <t>EXCELLENT (100.0%)</t>
        </is>
      </c>
    </row>
    <row r="14" ht="22" customHeight="1">
      <c r="B14" s="39" t="inlineStr">
        <is>
          <t>TOTAL / NETWORK AVERAGE</t>
        </is>
      </c>
      <c r="C14" s="40" t="inlineStr">
        <is>
          <t>All Wards</t>
        </is>
      </c>
      <c r="D14" s="41">
        <f>SUM(D11:D13)</f>
        <v/>
      </c>
      <c r="E14" s="41">
        <f>SUM(E11:E13)</f>
        <v/>
      </c>
      <c r="F14" s="41">
        <f>SUM(F11:F13)</f>
        <v/>
      </c>
      <c r="G14" s="41">
        <f>SUM(G11:G13)</f>
        <v/>
      </c>
      <c r="H14" s="42">
        <f>F14/E14</f>
        <v/>
      </c>
      <c r="I14" s="42">
        <f>G14/E14</f>
        <v/>
      </c>
      <c r="J14" s="43">
        <f>SUM(J11:J13)</f>
        <v/>
      </c>
      <c r="K14" s="43">
        <f>SUM(K11:K13)</f>
        <v/>
      </c>
      <c r="L14" s="43">
        <f>SUM(L11:L13)</f>
        <v/>
      </c>
      <c r="M14" s="40" t="inlineStr">
        <is>
          <t>90.65% BURNING</t>
        </is>
      </c>
      <c r="O14" t="inlineStr">
        <is>
          <t>Section</t>
        </is>
      </c>
      <c r="P14" t="inlineStr">
        <is>
          <t>Burning</t>
        </is>
      </c>
      <c r="Q14" t="inlineStr">
        <is>
          <t>Non-Burning</t>
        </is>
      </c>
    </row>
    <row r="15">
      <c r="O15" t="inlineStr">
        <is>
          <t>Section-1</t>
        </is>
      </c>
      <c r="P15">
        <f>F11</f>
        <v/>
      </c>
      <c r="Q15">
        <f>G11</f>
        <v/>
      </c>
    </row>
    <row r="16">
      <c r="B16" s="25" t="inlineStr">
        <is>
          <t>AVAILABLE LAMP FAILURE ANALYSIS BY WATTAGE (CORRIDOR RATINGS)</t>
        </is>
      </c>
      <c r="L16" s="25" t="inlineStr">
        <is>
          <t>CCMS HEALTH TIERS</t>
        </is>
      </c>
      <c r="O16" t="inlineStr">
        <is>
          <t>Section-2</t>
        </is>
      </c>
      <c r="P16">
        <f>F12</f>
        <v/>
      </c>
      <c r="Q16">
        <f>G12</f>
        <v/>
      </c>
    </row>
    <row r="17" ht="22" customHeight="1">
      <c r="B17" s="44" t="inlineStr">
        <is>
          <t>Lamp Rating</t>
        </is>
      </c>
      <c r="C17" s="44" t="inlineStr">
        <is>
          <t>Total Installed</t>
        </is>
      </c>
      <c r="D17" s="44" t="inlineStr">
        <is>
          <t>Burning Lamps</t>
        </is>
      </c>
      <c r="E17" s="44" t="inlineStr">
        <is>
          <t>Non-Burning (Failed)</t>
        </is>
      </c>
      <c r="F17" s="44" t="inlineStr">
        <is>
          <t>Burning %</t>
        </is>
      </c>
      <c r="G17" s="44" t="inlineStr">
        <is>
          <t>Non-Burning %</t>
        </is>
      </c>
      <c r="H17" s="44" t="inlineStr">
        <is>
          <t>Outage Share %</t>
        </is>
      </c>
      <c r="I17" s="44" t="inlineStr">
        <is>
          <t>Deficit Load (kW)</t>
        </is>
      </c>
      <c r="J17" s="44" t="inlineStr">
        <is>
          <t>Replacement Stock Priority</t>
        </is>
      </c>
      <c r="L17" s="45" t="inlineStr">
        <is>
          <t>Health Category</t>
        </is>
      </c>
      <c r="M17" s="45" t="inlineStr">
        <is>
          <t>Panels (%)</t>
        </is>
      </c>
      <c r="O17" t="inlineStr">
        <is>
          <t>Section-3</t>
        </is>
      </c>
      <c r="P17">
        <f>F13</f>
        <v/>
      </c>
      <c r="Q17">
        <f>G13</f>
        <v/>
      </c>
    </row>
    <row r="18" ht="20" customHeight="1">
      <c r="B18" s="33" t="inlineStr">
        <is>
          <t>150 Watts</t>
        </is>
      </c>
      <c r="C18" s="35">
        <f>SUM(Parameterized_Lamp_Failure_Repo!$BZ$2:$BZ$107)</f>
        <v/>
      </c>
      <c r="D18" s="35">
        <f>C18-E18</f>
        <v/>
      </c>
      <c r="E18" s="35">
        <f>SUM(Parameterized_Lamp_Failure_Repo!$BY$2:$BY$107)</f>
        <v/>
      </c>
      <c r="F18" s="36">
        <f>D18/C18</f>
        <v/>
      </c>
      <c r="G18" s="36">
        <f>E18/C18</f>
        <v/>
      </c>
      <c r="H18" s="36">
        <f>E18/$E$24</f>
        <v/>
      </c>
      <c r="I18" s="37">
        <f>E18*0.15</f>
        <v/>
      </c>
      <c r="J18" s="46" t="inlineStr">
        <is>
          <t>CRITICAL (51.6% Outage Share)</t>
        </is>
      </c>
      <c r="L18" s="33" t="inlineStr">
        <is>
          <t>100% Burning (Optimal)</t>
        </is>
      </c>
      <c r="M18" s="32" t="inlineStr">
        <is>
          <t>69 Panels (65.1%)</t>
        </is>
      </c>
    </row>
    <row r="19" ht="20" customHeight="1">
      <c r="B19" s="27" t="inlineStr">
        <is>
          <t>180 Watts</t>
        </is>
      </c>
      <c r="C19" s="29">
        <f>SUM(Parameterized_Lamp_Failure_Repo!$CF$2:$CF$107)</f>
        <v/>
      </c>
      <c r="D19" s="29">
        <f>C19-E19</f>
        <v/>
      </c>
      <c r="E19" s="29">
        <f>SUM(Parameterized_Lamp_Failure_Repo!$CE$2:$CE$107)</f>
        <v/>
      </c>
      <c r="F19" s="30">
        <f>D19/C19</f>
        <v/>
      </c>
      <c r="G19" s="30">
        <f>E19/C19</f>
        <v/>
      </c>
      <c r="H19" s="30">
        <f>E19/$E$24</f>
        <v/>
      </c>
      <c r="I19" s="31">
        <f>E19*0.18</f>
        <v/>
      </c>
      <c r="J19" s="32" t="inlineStr">
        <is>
          <t>LOW (0.8% Outage Share)</t>
        </is>
      </c>
      <c r="L19" s="33" t="inlineStr">
        <is>
          <t>90% - 99% Burning (Minor)</t>
        </is>
      </c>
      <c r="M19" s="32" t="inlineStr">
        <is>
          <t>12 Panels (11.3%)</t>
        </is>
      </c>
      <c r="O19" t="inlineStr">
        <is>
          <t>Wattage</t>
        </is>
      </c>
      <c r="P19" t="inlineStr">
        <is>
          <t>Non-Burning</t>
        </is>
      </c>
    </row>
    <row r="20" ht="20" customHeight="1">
      <c r="B20" s="33" t="inlineStr">
        <is>
          <t>200 Watts</t>
        </is>
      </c>
      <c r="C20" s="35">
        <f>SUM(Parameterized_Lamp_Failure_Repo!$CH$2:$CH$107)</f>
        <v/>
      </c>
      <c r="D20" s="35">
        <f>C20-E20</f>
        <v/>
      </c>
      <c r="E20" s="35">
        <f>SUM(Parameterized_Lamp_Failure_Repo!$CG$2:$CG$107)</f>
        <v/>
      </c>
      <c r="F20" s="36">
        <f>D20/C20</f>
        <v/>
      </c>
      <c r="G20" s="36">
        <f>E20/C20</f>
        <v/>
      </c>
      <c r="H20" s="36">
        <f>E20/$E$24</f>
        <v/>
      </c>
      <c r="I20" s="37">
        <f>E20*0.2</f>
        <v/>
      </c>
      <c r="J20" s="38" t="inlineStr">
        <is>
          <t>MEDIUM (4.4% Outage Share)</t>
        </is>
      </c>
      <c r="L20" s="33" t="inlineStr">
        <is>
          <t>70% - 89% Burning (Moderate)</t>
        </is>
      </c>
      <c r="M20" s="38" t="inlineStr">
        <is>
          <t>17 Panels (16.0%)</t>
        </is>
      </c>
      <c r="O20" t="inlineStr">
        <is>
          <t>150W</t>
        </is>
      </c>
      <c r="P20">
        <f>E18</f>
        <v/>
      </c>
    </row>
    <row r="21" ht="20" customHeight="1">
      <c r="B21" s="27" t="inlineStr">
        <is>
          <t>220 Watts</t>
        </is>
      </c>
      <c r="C21" s="29">
        <f>SUM(Parameterized_Lamp_Failure_Repo!$CL$2:$CL$107)</f>
        <v/>
      </c>
      <c r="D21" s="29">
        <f>C21-E21</f>
        <v/>
      </c>
      <c r="E21" s="29">
        <f>SUM(Parameterized_Lamp_Failure_Repo!$CK$2:$CK$107)</f>
        <v/>
      </c>
      <c r="F21" s="30">
        <f>D21/C21</f>
        <v/>
      </c>
      <c r="G21" s="30">
        <f>E21/C21</f>
        <v/>
      </c>
      <c r="H21" s="30">
        <f>E21/$E$24</f>
        <v/>
      </c>
      <c r="I21" s="31">
        <f>E21*0.22</f>
        <v/>
      </c>
      <c r="J21" s="32" t="inlineStr">
        <is>
          <t>LOW (2.4% Outage Share)</t>
        </is>
      </c>
      <c r="L21" s="33" t="inlineStr">
        <is>
          <t>&lt; 70% Burning (Critical)</t>
        </is>
      </c>
      <c r="M21" s="46" t="inlineStr">
        <is>
          <t>8 Panels (7.5%)</t>
        </is>
      </c>
      <c r="O21" t="inlineStr">
        <is>
          <t>180W</t>
        </is>
      </c>
      <c r="P21">
        <f>E19</f>
        <v/>
      </c>
    </row>
    <row r="22" ht="20" customHeight="1">
      <c r="B22" s="33" t="inlineStr">
        <is>
          <t>250 Watts</t>
        </is>
      </c>
      <c r="C22" s="35">
        <f>SUM(Parameterized_Lamp_Failure_Repo!$CP$2:$CP$107)</f>
        <v/>
      </c>
      <c r="D22" s="35">
        <f>C22-E22</f>
        <v/>
      </c>
      <c r="E22" s="35">
        <f>SUM(Parameterized_Lamp_Failure_Repo!$CO$2:$CO$107)</f>
        <v/>
      </c>
      <c r="F22" s="36">
        <f>D22/C22</f>
        <v/>
      </c>
      <c r="G22" s="36">
        <f>E22/C22</f>
        <v/>
      </c>
      <c r="H22" s="36">
        <f>E22/$E$24</f>
        <v/>
      </c>
      <c r="I22" s="37">
        <f>E22*0.25</f>
        <v/>
      </c>
      <c r="J22" s="46" t="inlineStr">
        <is>
          <t>HIGH (25.4% Outage Share)</t>
        </is>
      </c>
      <c r="L22" s="47" t="inlineStr">
        <is>
          <t>Total Monitored</t>
        </is>
      </c>
      <c r="M22" s="40" t="inlineStr">
        <is>
          <t>106 Panels (100%)</t>
        </is>
      </c>
      <c r="O22" t="inlineStr">
        <is>
          <t>200W</t>
        </is>
      </c>
      <c r="P22">
        <f>E20</f>
        <v/>
      </c>
    </row>
    <row r="23" ht="20" customHeight="1">
      <c r="B23" s="27" t="inlineStr">
        <is>
          <t>300 Watts</t>
        </is>
      </c>
      <c r="C23" s="29">
        <f>SUM(Parameterized_Lamp_Failure_Repo!$CQ$2:$CQ$107)</f>
        <v/>
      </c>
      <c r="D23" s="29">
        <f>C23-E23</f>
        <v/>
      </c>
      <c r="E23" s="29">
        <f>SUM(Parameterized_Lamp_Failure_Repo!$CR$2:$CR$107)</f>
        <v/>
      </c>
      <c r="F23" s="30">
        <f>D23/C23</f>
        <v/>
      </c>
      <c r="G23" s="30">
        <f>E23/C23</f>
        <v/>
      </c>
      <c r="H23" s="30">
        <f>E23/$E$24</f>
        <v/>
      </c>
      <c r="I23" s="31">
        <f>E23*0.3</f>
        <v/>
      </c>
      <c r="J23" s="38" t="inlineStr">
        <is>
          <t>HIGH (15.5% Outage Share)</t>
        </is>
      </c>
      <c r="O23" t="inlineStr">
        <is>
          <t>220W</t>
        </is>
      </c>
      <c r="P23">
        <f>E21</f>
        <v/>
      </c>
    </row>
    <row r="24" ht="22" customHeight="1">
      <c r="B24" s="39" t="inlineStr">
        <is>
          <t>TOTAL AVAILABLE RATINGS</t>
        </is>
      </c>
      <c r="C24" s="41">
        <f>SUM(C18:C23)</f>
        <v/>
      </c>
      <c r="D24" s="41">
        <f>SUM(D18:D23)</f>
        <v/>
      </c>
      <c r="E24" s="41">
        <f>SUM(E18:E23)</f>
        <v/>
      </c>
      <c r="F24" s="42">
        <f>D24/C24</f>
        <v/>
      </c>
      <c r="G24" s="42">
        <f>E24/C24</f>
        <v/>
      </c>
      <c r="H24" s="42">
        <f>SUM(H18:H23)</f>
        <v/>
      </c>
      <c r="I24" s="43">
        <f>SUM(I18:I23)</f>
        <v/>
      </c>
      <c r="J24" s="40" t="inlineStr">
        <is>
          <t>252 LAMPS DOWN</t>
        </is>
      </c>
      <c r="O24" t="inlineStr">
        <is>
          <t>250W</t>
        </is>
      </c>
      <c r="P24">
        <f>E22</f>
        <v/>
      </c>
    </row>
    <row r="25">
      <c r="O25" t="inlineStr">
        <is>
          <t>300W</t>
        </is>
      </c>
      <c r="P25">
        <f>E23</f>
        <v/>
      </c>
    </row>
    <row r="26">
      <c r="B26" s="25" t="inlineStr">
        <is>
          <t>PRIORITY ACTION LIST: TOP CCMS PANELS WITH ACTIVE LAMP FAILURES (IMMEDIATE RECTIFICATION)</t>
        </is>
      </c>
    </row>
    <row r="27" ht="22" customHeight="1">
      <c r="B27" s="26" t="inlineStr">
        <is>
          <t>Rank</t>
        </is>
      </c>
      <c r="C27" s="26" t="inlineStr">
        <is>
          <t>CCMS Panel ID</t>
        </is>
      </c>
      <c r="D27" s="26" t="inlineStr">
        <is>
          <t>Section</t>
        </is>
      </c>
      <c r="E27" s="26" t="inlineStr">
        <is>
          <t>Ward</t>
        </is>
      </c>
      <c r="F27" s="26" t="inlineStr">
        <is>
          <t>Connected Lamps</t>
        </is>
      </c>
      <c r="G27" s="26" t="inlineStr">
        <is>
          <t>Non-Burning Lamps</t>
        </is>
      </c>
      <c r="H27" s="26" t="inlineStr">
        <is>
          <t>Burning Lamps</t>
        </is>
      </c>
      <c r="I27" s="26" t="inlineStr">
        <is>
          <t>Burning %</t>
        </is>
      </c>
      <c r="J27" s="26" t="inlineStr">
        <is>
          <t>Non-Burning %</t>
        </is>
      </c>
      <c r="K27" s="26" t="inlineStr">
        <is>
          <t>Unserved Load (Watts)</t>
        </is>
      </c>
      <c r="L27" s="26" t="inlineStr">
        <is>
          <t>Corridor Impact</t>
        </is>
      </c>
      <c r="M27" s="26" t="inlineStr">
        <is>
          <t>Field Action Required</t>
        </is>
      </c>
    </row>
    <row r="28" ht="19" customHeight="1">
      <c r="B28" s="34" t="n">
        <v>1</v>
      </c>
      <c r="C28" s="48" t="inlineStr">
        <is>
          <t>SHC3074A00026</t>
        </is>
      </c>
      <c r="D28" s="34" t="inlineStr">
        <is>
          <t>Section-1</t>
        </is>
      </c>
      <c r="E28" s="34" t="inlineStr">
        <is>
          <t>28-53</t>
        </is>
      </c>
      <c r="F28" s="35" t="n">
        <v>90</v>
      </c>
      <c r="G28" s="49" t="n">
        <v>34</v>
      </c>
      <c r="H28" s="35" t="n">
        <v>56</v>
      </c>
      <c r="I28" s="36" t="n">
        <v>0.6222</v>
      </c>
      <c r="J28" s="36" t="n">
        <v>0.3778</v>
      </c>
      <c r="K28" s="35" t="n">
        <v>8500</v>
      </c>
      <c r="L28" s="46" t="inlineStr">
        <is>
          <t>CRITICAL OUTAGE</t>
        </is>
      </c>
      <c r="M28" s="33" t="inlineStr">
        <is>
          <t>Replace 34x 250W lamps &amp; check phase-R</t>
        </is>
      </c>
    </row>
    <row r="29" ht="19" customHeight="1">
      <c r="B29" s="28" t="n">
        <v>2</v>
      </c>
      <c r="C29" s="50" t="inlineStr">
        <is>
          <t>SHC3074A00091</t>
        </is>
      </c>
      <c r="D29" s="28" t="inlineStr">
        <is>
          <t>Section-2</t>
        </is>
      </c>
      <c r="E29" s="28" t="inlineStr">
        <is>
          <t>54-102</t>
        </is>
      </c>
      <c r="F29" s="29" t="n">
        <v>34</v>
      </c>
      <c r="G29" s="51" t="n">
        <v>26</v>
      </c>
      <c r="H29" s="29" t="n">
        <v>8</v>
      </c>
      <c r="I29" s="30" t="n">
        <v>0.2353</v>
      </c>
      <c r="J29" s="30" t="n">
        <v>0.7647</v>
      </c>
      <c r="K29" s="29" t="n">
        <v>3900</v>
      </c>
      <c r="L29" s="46" t="inlineStr">
        <is>
          <t>CRITICAL OUTAGE</t>
        </is>
      </c>
      <c r="M29" s="27" t="inlineStr">
        <is>
          <t>Major blackout (76.5% failed). Driver bank check</t>
        </is>
      </c>
    </row>
    <row r="30" ht="19" customHeight="1">
      <c r="B30" s="34" t="n">
        <v>3</v>
      </c>
      <c r="C30" s="48" t="inlineStr">
        <is>
          <t>SHC3074A00064</t>
        </is>
      </c>
      <c r="D30" s="34" t="inlineStr">
        <is>
          <t>Section-2</t>
        </is>
      </c>
      <c r="E30" s="34" t="inlineStr">
        <is>
          <t>54-102</t>
        </is>
      </c>
      <c r="F30" s="35" t="n">
        <v>60</v>
      </c>
      <c r="G30" s="49" t="n">
        <v>22</v>
      </c>
      <c r="H30" s="35" t="n">
        <v>38</v>
      </c>
      <c r="I30" s="36" t="n">
        <v>0.6333</v>
      </c>
      <c r="J30" s="36" t="n">
        <v>0.3667</v>
      </c>
      <c r="K30" s="35" t="n">
        <v>3300</v>
      </c>
      <c r="L30" s="46" t="inlineStr">
        <is>
          <t>CRITICAL OUTAGE</t>
        </is>
      </c>
      <c r="M30" s="33" t="inlineStr">
        <is>
          <t>Inspect loop feeder cable &amp; 22 fixtures</t>
        </is>
      </c>
    </row>
    <row r="31" ht="19" customHeight="1">
      <c r="B31" s="28" t="n">
        <v>4</v>
      </c>
      <c r="C31" s="50" t="inlineStr">
        <is>
          <t>SHC3074A00060</t>
        </is>
      </c>
      <c r="D31" s="28" t="inlineStr">
        <is>
          <t>Section-1</t>
        </is>
      </c>
      <c r="E31" s="28" t="inlineStr">
        <is>
          <t>28-53</t>
        </is>
      </c>
      <c r="F31" s="29" t="n">
        <v>52</v>
      </c>
      <c r="G31" s="51" t="n">
        <v>19</v>
      </c>
      <c r="H31" s="29" t="n">
        <v>33</v>
      </c>
      <c r="I31" s="30" t="n">
        <v>0.6346000000000001</v>
      </c>
      <c r="J31" s="30" t="n">
        <v>0.3654</v>
      </c>
      <c r="K31" s="29" t="n">
        <v>4050</v>
      </c>
      <c r="L31" s="46" t="inlineStr">
        <is>
          <t>CRITICAL OUTAGE</t>
        </is>
      </c>
      <c r="M31" s="27" t="inlineStr">
        <is>
          <t>Replace 19x 200W/250W luminaires</t>
        </is>
      </c>
    </row>
    <row r="32" ht="19" customHeight="1">
      <c r="B32" s="34" t="n">
        <v>5</v>
      </c>
      <c r="C32" s="48" t="inlineStr">
        <is>
          <t>SHC3074A00048</t>
        </is>
      </c>
      <c r="D32" s="34" t="inlineStr">
        <is>
          <t>Section-2</t>
        </is>
      </c>
      <c r="E32" s="34" t="inlineStr">
        <is>
          <t>54-102</t>
        </is>
      </c>
      <c r="F32" s="35" t="n">
        <v>30</v>
      </c>
      <c r="G32" s="49" t="n">
        <v>18</v>
      </c>
      <c r="H32" s="35" t="n">
        <v>12</v>
      </c>
      <c r="I32" s="36" t="n">
        <v>0.4</v>
      </c>
      <c r="J32" s="36" t="n">
        <v>0.6</v>
      </c>
      <c r="K32" s="35" t="n">
        <v>3900</v>
      </c>
      <c r="L32" s="46" t="inlineStr">
        <is>
          <t>CRITICAL OUTAGE</t>
        </is>
      </c>
      <c r="M32" s="33" t="inlineStr">
        <is>
          <t>Severe failure (60% down). Replace 18 lamps</t>
        </is>
      </c>
    </row>
    <row r="33" ht="19" customHeight="1">
      <c r="B33" s="28" t="n">
        <v>6</v>
      </c>
      <c r="C33" s="50" t="inlineStr">
        <is>
          <t>SHC3074A00052</t>
        </is>
      </c>
      <c r="D33" s="28" t="inlineStr">
        <is>
          <t>Section-1</t>
        </is>
      </c>
      <c r="E33" s="28" t="inlineStr">
        <is>
          <t>28-53</t>
        </is>
      </c>
      <c r="F33" s="29" t="n">
        <v>52</v>
      </c>
      <c r="G33" s="51" t="n">
        <v>11</v>
      </c>
      <c r="H33" s="29" t="n">
        <v>41</v>
      </c>
      <c r="I33" s="30" t="n">
        <v>0.7885</v>
      </c>
      <c r="J33" s="30" t="n">
        <v>0.2115</v>
      </c>
      <c r="K33" s="29" t="n">
        <v>2680</v>
      </c>
      <c r="L33" s="38" t="inlineStr">
        <is>
          <t>HIGH PRIORITY</t>
        </is>
      </c>
      <c r="M33" s="27" t="inlineStr">
        <is>
          <t>Inspect circuit-2 and replace 11 fixtures</t>
        </is>
      </c>
    </row>
    <row r="34" ht="19" customHeight="1">
      <c r="B34" s="34" t="n">
        <v>7</v>
      </c>
      <c r="C34" s="48" t="inlineStr">
        <is>
          <t>SHC3074A00033</t>
        </is>
      </c>
      <c r="D34" s="34" t="inlineStr">
        <is>
          <t>Section-1</t>
        </is>
      </c>
      <c r="E34" s="34" t="inlineStr">
        <is>
          <t>28-53</t>
        </is>
      </c>
      <c r="F34" s="35" t="n">
        <v>38</v>
      </c>
      <c r="G34" s="49" t="n">
        <v>11</v>
      </c>
      <c r="H34" s="35" t="n">
        <v>27</v>
      </c>
      <c r="I34" s="36" t="n">
        <v>0.7105</v>
      </c>
      <c r="J34" s="36" t="n">
        <v>0.2895</v>
      </c>
      <c r="K34" s="35" t="n">
        <v>1650</v>
      </c>
      <c r="L34" s="38" t="inlineStr">
        <is>
          <t>HIGH PRIORITY</t>
        </is>
      </c>
      <c r="M34" s="33" t="inlineStr">
        <is>
          <t>Replace 11x 150W lamps</t>
        </is>
      </c>
    </row>
    <row r="35" ht="19" customHeight="1">
      <c r="B35" s="28" t="n">
        <v>8</v>
      </c>
      <c r="C35" s="50" t="inlineStr">
        <is>
          <t>SHC3074A00051</t>
        </is>
      </c>
      <c r="D35" s="28" t="inlineStr">
        <is>
          <t>Section-1</t>
        </is>
      </c>
      <c r="E35" s="28" t="inlineStr">
        <is>
          <t>28-53</t>
        </is>
      </c>
      <c r="F35" s="29" t="n">
        <v>55</v>
      </c>
      <c r="G35" s="51" t="n">
        <v>10</v>
      </c>
      <c r="H35" s="29" t="n">
        <v>45</v>
      </c>
      <c r="I35" s="30" t="n">
        <v>0.8182</v>
      </c>
      <c r="J35" s="30" t="n">
        <v>0.1818</v>
      </c>
      <c r="K35" s="29" t="n">
        <v>2000</v>
      </c>
      <c r="L35" s="38" t="inlineStr">
        <is>
          <t>HIGH PRIORITY</t>
        </is>
      </c>
      <c r="M35" s="27" t="inlineStr">
        <is>
          <t>Service pole fixtures 21 to 30</t>
        </is>
      </c>
    </row>
    <row r="36" ht="19" customHeight="1">
      <c r="B36" s="34" t="n">
        <v>9</v>
      </c>
      <c r="C36" s="48" t="inlineStr">
        <is>
          <t>SHC3074A00079</t>
        </is>
      </c>
      <c r="D36" s="34" t="inlineStr">
        <is>
          <t>Section-2</t>
        </is>
      </c>
      <c r="E36" s="34" t="inlineStr">
        <is>
          <t>54-102</t>
        </is>
      </c>
      <c r="F36" s="35" t="n">
        <v>34</v>
      </c>
      <c r="G36" s="49" t="n">
        <v>10</v>
      </c>
      <c r="H36" s="35" t="n">
        <v>24</v>
      </c>
      <c r="I36" s="36" t="n">
        <v>0.7059</v>
      </c>
      <c r="J36" s="36" t="n">
        <v>0.2941</v>
      </c>
      <c r="K36" s="35" t="n">
        <v>1500</v>
      </c>
      <c r="L36" s="38" t="inlineStr">
        <is>
          <t>HIGH PRIORITY</t>
        </is>
      </c>
      <c r="M36" s="33" t="inlineStr">
        <is>
          <t>Replace 10x 150W lamps</t>
        </is>
      </c>
    </row>
    <row r="37" ht="19" customHeight="1">
      <c r="B37" s="28" t="n">
        <v>10</v>
      </c>
      <c r="C37" s="50" t="inlineStr">
        <is>
          <t>SHC3074A00072</t>
        </is>
      </c>
      <c r="D37" s="28" t="inlineStr">
        <is>
          <t>Section-2</t>
        </is>
      </c>
      <c r="E37" s="28" t="inlineStr">
        <is>
          <t>54-102</t>
        </is>
      </c>
      <c r="F37" s="29" t="n">
        <v>28</v>
      </c>
      <c r="G37" s="51" t="n">
        <v>10</v>
      </c>
      <c r="H37" s="29" t="n">
        <v>18</v>
      </c>
      <c r="I37" s="30" t="n">
        <v>0.6429</v>
      </c>
      <c r="J37" s="30" t="n">
        <v>0.3571</v>
      </c>
      <c r="K37" s="29" t="n">
        <v>1500</v>
      </c>
      <c r="L37" s="46" t="inlineStr">
        <is>
          <t>CRITICAL OUTAGE</t>
        </is>
      </c>
      <c r="M37" s="27" t="inlineStr">
        <is>
          <t>35.7% out. Check MCB-2 &amp; replace 10 units</t>
        </is>
      </c>
    </row>
    <row r="38" ht="19" customHeight="1">
      <c r="B38" s="34" t="n">
        <v>11</v>
      </c>
      <c r="C38" s="48" t="inlineStr">
        <is>
          <t>SHC3074A00055</t>
        </is>
      </c>
      <c r="D38" s="34" t="inlineStr">
        <is>
          <t>Section-1</t>
        </is>
      </c>
      <c r="E38" s="34" t="inlineStr">
        <is>
          <t>28-53</t>
        </is>
      </c>
      <c r="F38" s="35" t="n">
        <v>34</v>
      </c>
      <c r="G38" s="49" t="n">
        <v>9</v>
      </c>
      <c r="H38" s="35" t="n">
        <v>25</v>
      </c>
      <c r="I38" s="36" t="n">
        <v>0.7353</v>
      </c>
      <c r="J38" s="36" t="n">
        <v>0.2647</v>
      </c>
      <c r="K38" s="35" t="n">
        <v>2250</v>
      </c>
      <c r="L38" s="38" t="inlineStr">
        <is>
          <t>HIGH PRIORITY</t>
        </is>
      </c>
      <c r="M38" s="33" t="inlineStr">
        <is>
          <t>Replace 9x 250W lamps &amp; SPD check</t>
        </is>
      </c>
    </row>
    <row r="39" ht="19" customHeight="1">
      <c r="B39" s="28" t="n">
        <v>12</v>
      </c>
      <c r="C39" s="50" t="inlineStr">
        <is>
          <t>SHC3074A00028</t>
        </is>
      </c>
      <c r="D39" s="28" t="inlineStr">
        <is>
          <t>Section-1</t>
        </is>
      </c>
      <c r="E39" s="28" t="inlineStr">
        <is>
          <t>28-53</t>
        </is>
      </c>
      <c r="F39" s="29" t="n">
        <v>42</v>
      </c>
      <c r="G39" s="51" t="n">
        <v>7</v>
      </c>
      <c r="H39" s="29" t="n">
        <v>35</v>
      </c>
      <c r="I39" s="30" t="n">
        <v>0.8333</v>
      </c>
      <c r="J39" s="30" t="n">
        <v>0.1667</v>
      </c>
      <c r="K39" s="29" t="n">
        <v>2100</v>
      </c>
      <c r="L39" s="52" t="inlineStr">
        <is>
          <t>MEDIUM PRIORITY</t>
        </is>
      </c>
      <c r="M39" s="27" t="inlineStr">
        <is>
          <t>Replace 7x 300W fixtures</t>
        </is>
      </c>
    </row>
    <row r="40" ht="19" customHeight="1">
      <c r="B40" s="34" t="n">
        <v>13</v>
      </c>
      <c r="C40" s="48" t="inlineStr">
        <is>
          <t>SHC3074A00073</t>
        </is>
      </c>
      <c r="D40" s="34" t="inlineStr">
        <is>
          <t>Section-2</t>
        </is>
      </c>
      <c r="E40" s="34" t="inlineStr">
        <is>
          <t>54-102</t>
        </is>
      </c>
      <c r="F40" s="35" t="n">
        <v>13</v>
      </c>
      <c r="G40" s="49" t="n">
        <v>6</v>
      </c>
      <c r="H40" s="35" t="n">
        <v>7</v>
      </c>
      <c r="I40" s="36" t="n">
        <v>0.5385</v>
      </c>
      <c r="J40" s="36" t="n">
        <v>0.4615</v>
      </c>
      <c r="K40" s="35" t="n">
        <v>900</v>
      </c>
      <c r="L40" s="46" t="inlineStr">
        <is>
          <t>CRITICAL OUTAGE</t>
        </is>
      </c>
      <c r="M40" s="33" t="inlineStr">
        <is>
          <t>46.2% failure rate. Immediate inspection</t>
        </is>
      </c>
    </row>
    <row r="41" ht="19" customHeight="1">
      <c r="B41" s="28" t="n">
        <v>14</v>
      </c>
      <c r="C41" s="50" t="inlineStr">
        <is>
          <t>SHC3074A00047</t>
        </is>
      </c>
      <c r="D41" s="28" t="inlineStr">
        <is>
          <t>Section-2</t>
        </is>
      </c>
      <c r="E41" s="28" t="inlineStr">
        <is>
          <t>54-102</t>
        </is>
      </c>
      <c r="F41" s="29" t="n">
        <v>26</v>
      </c>
      <c r="G41" s="51" t="n">
        <v>6</v>
      </c>
      <c r="H41" s="29" t="n">
        <v>20</v>
      </c>
      <c r="I41" s="30" t="n">
        <v>0.7692</v>
      </c>
      <c r="J41" s="30" t="n">
        <v>0.2308</v>
      </c>
      <c r="K41" s="29" t="n">
        <v>900</v>
      </c>
      <c r="L41" s="52" t="inlineStr">
        <is>
          <t>MEDIUM PRIORITY</t>
        </is>
      </c>
      <c r="M41" s="27" t="inlineStr">
        <is>
          <t>Replace 6x 150W lamps</t>
        </is>
      </c>
    </row>
    <row r="42" ht="19" customHeight="1">
      <c r="B42" s="34" t="n">
        <v>15</v>
      </c>
      <c r="C42" s="48" t="inlineStr">
        <is>
          <t>SHC3074A00019</t>
        </is>
      </c>
      <c r="D42" s="34" t="inlineStr">
        <is>
          <t>Section-2</t>
        </is>
      </c>
      <c r="E42" s="34" t="inlineStr">
        <is>
          <t>54-102</t>
        </is>
      </c>
      <c r="F42" s="35" t="n">
        <v>26</v>
      </c>
      <c r="G42" s="49" t="n">
        <v>5</v>
      </c>
      <c r="H42" s="35" t="n">
        <v>21</v>
      </c>
      <c r="I42" s="36" t="n">
        <v>0.8077</v>
      </c>
      <c r="J42" s="36" t="n">
        <v>0.1923</v>
      </c>
      <c r="K42" s="35" t="n">
        <v>1350</v>
      </c>
      <c r="L42" s="52" t="inlineStr">
        <is>
          <t>MEDIUM PRIORITY</t>
        </is>
      </c>
      <c r="M42" s="33" t="inlineStr">
        <is>
          <t>Replace 5x 250W lamps</t>
        </is>
      </c>
    </row>
    <row r="43" ht="22" customHeight="1">
      <c r="B43" s="39" t="inlineStr">
        <is>
          <t>SUBTOTAL</t>
        </is>
      </c>
      <c r="C43" s="39" t="inlineStr">
        <is>
          <t>Top 15 Problem Panels</t>
        </is>
      </c>
      <c r="D43" s="40" t="inlineStr">
        <is>
          <t>-</t>
        </is>
      </c>
      <c r="E43" s="40" t="inlineStr">
        <is>
          <t>-</t>
        </is>
      </c>
      <c r="F43" s="41">
        <f>SUM(F28:F42)</f>
        <v/>
      </c>
      <c r="G43" s="41">
        <f>SUM(G28:G42)</f>
        <v/>
      </c>
      <c r="H43" s="41">
        <f>SUM(H28:H42)</f>
        <v/>
      </c>
      <c r="I43" s="42">
        <f>H43/F43</f>
        <v/>
      </c>
      <c r="J43" s="42">
        <f>G43/F43</f>
        <v/>
      </c>
      <c r="K43" s="41">
        <f>SUM(K28:K42)</f>
        <v/>
      </c>
      <c r="L43" s="40" t="inlineStr">
        <is>
          <t>76.2% OF ALL OUTAGES</t>
        </is>
      </c>
      <c r="M43" s="40" t="inlineStr">
        <is>
          <t>Resolving these 15 panels lifts network burning rate to 97.77%!</t>
        </is>
      </c>
    </row>
    <row r="45">
      <c r="B45" s="25" t="inlineStr">
        <is>
          <t>EXECUTIVE SUMMARY REPORT &amp; ENGINEERING OBSERVATIONS</t>
        </is>
      </c>
    </row>
    <row r="46" ht="20" customHeight="1">
      <c r="B46" s="53" t="inlineStr">
        <is>
          <t>1. EXECUTIVE OVERVIEW &amp; KEY PERFORMANCE INDICATORS</t>
        </is>
      </c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59" t="n"/>
    </row>
    <row r="47" ht="16" customHeight="1">
      <c r="B47" s="54" t="inlineStr">
        <is>
          <t>• Overall Highway Availability: The Chengalpattu-PIU corridor comprises 106 CCMS panels powering 2,694 street lights with 516.41 kW total connected load.
• Current Burning Efficiency: 2,442 lights are active and burning, representing a 90.65% Burning Ratio across the network.
• Outage Deficit: 252 luminaires are currently non-burning (9.35% Outage Ratio), causing an unserved electrical load loss of 51.08 kW (9.89% load deficit).
• Health Breakdown: 69 panels (65.1%) operate at 100% zero-defect efficiency, while 37 panels (34.9%) exhibit varying degrees of lamp failure.</t>
        </is>
      </c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3" t="n"/>
    </row>
    <row r="48" ht="16" customHeight="1">
      <c r="B48" s="64" t="n"/>
      <c r="M48" s="65" t="n"/>
    </row>
    <row r="49" ht="16" customHeight="1">
      <c r="B49" s="64" t="n"/>
      <c r="M49" s="65" t="n"/>
    </row>
    <row r="50" ht="16" customHeight="1">
      <c r="B50" s="66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8" t="n"/>
    </row>
    <row r="52" ht="20" customHeight="1">
      <c r="B52" s="55" t="inlineStr">
        <is>
          <t>2. SECTION &amp; WARD DISPARITY ANALYSIS</t>
        </is>
      </c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59" t="n"/>
    </row>
    <row r="53" ht="16" customHeight="1">
      <c r="B53" s="54" t="inlineStr">
        <is>
          <t>• Section-3 (Ward 103-120): PERFECT PERFORMANCE. All 12 CCMS panels and 91 lamps are 100.00% operational with 0 failures and 0 load loss.
• Section-1 (Ward 28-53): 91.98% Burning Ratio. 41 CCMS panels, 1,377 burning lights, 120 failures (8.02% NB), and 27.51 kW unserved load.
• Section-2 (Ward 54-102): CRITICAL FOCUS AREA. 88.07% Burning Ratio. 53 CCMS panels, 974 burning lights, 132 failures (11.93% NB), and 23.57 kW unserved load. Section-2 accounts for over 52.4% of total outages along the highway corridor.</t>
        </is>
      </c>
      <c r="C53" s="62" t="n"/>
      <c r="D53" s="62" t="n"/>
      <c r="E53" s="62" t="n"/>
      <c r="F53" s="62" t="n"/>
      <c r="G53" s="62" t="n"/>
      <c r="H53" s="62" t="n"/>
      <c r="I53" s="62" t="n"/>
      <c r="J53" s="62" t="n"/>
      <c r="K53" s="62" t="n"/>
      <c r="L53" s="62" t="n"/>
      <c r="M53" s="63" t="n"/>
    </row>
    <row r="54" ht="16" customHeight="1">
      <c r="B54" s="64" t="n"/>
      <c r="M54" s="65" t="n"/>
    </row>
    <row r="55" ht="16" customHeight="1">
      <c r="B55" s="64" t="n"/>
      <c r="M55" s="65" t="n"/>
    </row>
    <row r="56" ht="16" customHeight="1">
      <c r="B56" s="66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8" t="n"/>
    </row>
    <row r="58" ht="20" customHeight="1">
      <c r="B58" s="56" t="inlineStr">
        <is>
          <t>3. AVAILABLE LAMP RATINGS FAILURE VULNERABILITY (WATTAGE ANALYSIS)</t>
        </is>
      </c>
      <c r="C58" s="61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59" t="n"/>
    </row>
    <row r="59" ht="16" customHeight="1">
      <c r="B59" s="54" t="inlineStr">
        <is>
          <t>• 150W Luminaires (Corridor Primary): 1,422 total units installed. 130 failures recorded (9.14% failure rate). Accounts for 51.59% of ALL corridor outages!
• 250W Luminaires (High Vulnerability): 369 total units installed. 64 failures recorded (17.34% failure rate, the highest failure frequency on the project). Contributes 16.00 kW to unserved load.
• 300W Luminaires: 339 total units installed. 39 failures recorded (11.50% failure rate), resulting in 11.70 kW load deficit.
• 180W, 200W &amp; 220W Luminaires: High operational stability. 180W lamps exhibit outstanding 99.32% burning uptime with only 2 outages across 296 lamps.</t>
        </is>
      </c>
      <c r="C59" s="62" t="n"/>
      <c r="D59" s="62" t="n"/>
      <c r="E59" s="62" t="n"/>
      <c r="F59" s="62" t="n"/>
      <c r="G59" s="62" t="n"/>
      <c r="H59" s="62" t="n"/>
      <c r="I59" s="62" t="n"/>
      <c r="J59" s="62" t="n"/>
      <c r="K59" s="62" t="n"/>
      <c r="L59" s="62" t="n"/>
      <c r="M59" s="63" t="n"/>
    </row>
    <row r="60" ht="16" customHeight="1">
      <c r="B60" s="64" t="n"/>
      <c r="M60" s="65" t="n"/>
    </row>
    <row r="61" ht="16" customHeight="1">
      <c r="B61" s="64" t="n"/>
      <c r="M61" s="65" t="n"/>
    </row>
    <row r="62" ht="16" customHeight="1">
      <c r="B62" s="66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8" t="n"/>
    </row>
    <row r="64" ht="20" customHeight="1">
      <c r="B64" s="57" t="inlineStr">
        <is>
          <t>4. OUTAGE CONCENTRATION &amp; THE 80/20 ROOT-CAUSE PHENOMENON</t>
        </is>
      </c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59" t="n"/>
    </row>
    <row r="65" ht="16" customHeight="1">
      <c r="B65" s="54" t="inlineStr">
        <is>
          <t>• Severe Defect Concentration: 192 of the 252 total outages (76.2%) are concentrated in just 15 CCMS panels out of 106!
• Top 5 Outage Hotspots: SHC3074A00026 (34 failed), SHC3074A00091 (26 failed), SHC3074A00064 (22 failed), SHC3074A00060 (19 failed), and SHC3074A00048 (18 failed). These 5 panels alone cause 119 lamp failures (47.2% of the entire corridor deficit)!
• Blackout Panels: CCMS SHC3074A00091 in Section-2 is suffering a severe localized blackout with 76.47% of its lights non-burning (only 8 of 34 burning). CCMS SHC3074A00048 has 60.00% lights failed.</t>
        </is>
      </c>
      <c r="C65" s="62" t="n"/>
      <c r="D65" s="62" t="n"/>
      <c r="E65" s="62" t="n"/>
      <c r="F65" s="62" t="n"/>
      <c r="G65" s="62" t="n"/>
      <c r="H65" s="62" t="n"/>
      <c r="I65" s="62" t="n"/>
      <c r="J65" s="62" t="n"/>
      <c r="K65" s="62" t="n"/>
      <c r="L65" s="62" t="n"/>
      <c r="M65" s="63" t="n"/>
    </row>
    <row r="66" ht="16" customHeight="1">
      <c r="B66" s="64" t="n"/>
      <c r="M66" s="65" t="n"/>
    </row>
    <row r="67" ht="16" customHeight="1">
      <c r="B67" s="64" t="n"/>
      <c r="M67" s="65" t="n"/>
    </row>
    <row r="68" ht="16" customHeight="1">
      <c r="B68" s="66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8" t="n"/>
    </row>
    <row r="70" ht="20" customHeight="1">
      <c r="B70" s="53" t="inlineStr">
        <is>
          <t>5. RECOMMENDED ENGINEERING ACTION PLAN &amp; MAINTENANCE DIRECTIVES</t>
        </is>
      </c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59" t="n"/>
    </row>
    <row r="71" ht="16" customHeight="1">
      <c r="B71" s="54" t="inlineStr">
        <is>
          <t>• Phase 1 - Emergency Flying Squad Dispatch (Within 24 Hours): Deploy field technicians directly to Top 5 panels (SHC3074A00026, SHC3074A00091, SHC3074A00064, SHC3074A00060, SHC3074A00048). Restoring these 5 panels immediately raises network Burning % to 95.07%.
• Phase 2 - Inventory Mobilization: Procure and stage 150 units of 150W LED luminaires and 75 units of 250W LED fixtures/drivers at the PIU Chengalpattu maintenance depot.
• Phase 3 - Electrical Stress Audit: High mortality in 250W and 300W lamps indicates possible phase-voltage surges or driver overheating. Install surge suppression devices (SPD) and test phase balance.
• Target SLA Outcome: Executing rectification on the 15 prioritized panels will eliminate 192 outages, elevating NHAI corridor illumination to 97.77% compliance.</t>
        </is>
      </c>
      <c r="C71" s="62" t="n"/>
      <c r="D71" s="62" t="n"/>
      <c r="E71" s="62" t="n"/>
      <c r="F71" s="62" t="n"/>
      <c r="G71" s="62" t="n"/>
      <c r="H71" s="62" t="n"/>
      <c r="I71" s="62" t="n"/>
      <c r="J71" s="62" t="n"/>
      <c r="K71" s="62" t="n"/>
      <c r="L71" s="62" t="n"/>
      <c r="M71" s="63" t="n"/>
    </row>
    <row r="72" ht="16" customHeight="1">
      <c r="B72" s="64" t="n"/>
      <c r="M72" s="65" t="n"/>
    </row>
    <row r="73" ht="16" customHeight="1">
      <c r="B73" s="64" t="n"/>
      <c r="M73" s="65" t="n"/>
    </row>
    <row r="74" ht="16" customHeight="1">
      <c r="B74" s="66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8" t="n"/>
    </row>
  </sheetData>
  <mergeCells count="31">
    <mergeCell ref="B70:M70"/>
    <mergeCell ref="B2:M2"/>
    <mergeCell ref="L7:M7"/>
    <mergeCell ref="B7:C7"/>
    <mergeCell ref="J5:K5"/>
    <mergeCell ref="F6:G6"/>
    <mergeCell ref="B65:M68"/>
    <mergeCell ref="B1:M1"/>
    <mergeCell ref="F7:G7"/>
    <mergeCell ref="D6:E6"/>
    <mergeCell ref="H6:I6"/>
    <mergeCell ref="J6:K6"/>
    <mergeCell ref="F5:G5"/>
    <mergeCell ref="L5:M5"/>
    <mergeCell ref="B47:M50"/>
    <mergeCell ref="B59:M62"/>
    <mergeCell ref="B64:M64"/>
    <mergeCell ref="D7:E7"/>
    <mergeCell ref="H7:I7"/>
    <mergeCell ref="J7:K7"/>
    <mergeCell ref="B71:M74"/>
    <mergeCell ref="B6:C6"/>
    <mergeCell ref="B3:M3"/>
    <mergeCell ref="L6:M6"/>
    <mergeCell ref="B5:C5"/>
    <mergeCell ref="D5:E5"/>
    <mergeCell ref="B46:M46"/>
    <mergeCell ref="H5:I5"/>
    <mergeCell ref="B53:M56"/>
    <mergeCell ref="B58:M58"/>
    <mergeCell ref="B52:M5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Vinoth</dc:creator>
  <dcterms:created xsi:type="dcterms:W3CDTF">2026-10-12T05:53:43Z</dcterms:created>
  <dcterms:modified xsi:type="dcterms:W3CDTF">2026-10-12T06:09:34Z</dcterms:modified>
  <cp:lastModifiedBy>schcpu 0128</cp:lastModifiedBy>
</cp:coreProperties>
</file>